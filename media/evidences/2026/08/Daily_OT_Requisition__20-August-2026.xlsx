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-Shipon\Desktop\"/>
    </mc:Choice>
  </mc:AlternateContent>
  <xr:revisionPtr revIDLastSave="0" documentId="13_ncr:1_{7DD42673-9217-46AD-88DF-57808FBDB2B4}" xr6:coauthVersionLast="47" xr6:coauthVersionMax="47" xr10:uidLastSave="{00000000-0000-0000-0000-000000000000}"/>
  <bookViews>
    <workbookView xWindow="-120" yWindow="-120" windowWidth="20730" windowHeight="11160" xr2:uid="{22024B68-D5B7-4E98-B48A-8C8444C2C694}"/>
  </bookViews>
  <sheets>
    <sheet name="Requisition Sheet" sheetId="1" r:id="rId1"/>
  </sheets>
  <definedNames>
    <definedName name="_xlnm._FilterDatabase" localSheetId="0" hidden="1">'Requisition Sheet'!$A$5:$AA$49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  <c r="D37" i="1" s="1"/>
  <c r="C30" i="1"/>
  <c r="C23" i="1"/>
  <c r="C15" i="1"/>
  <c r="C8" i="1"/>
  <c r="I35" i="1"/>
  <c r="H35" i="1"/>
  <c r="G35" i="1"/>
  <c r="C35" i="1"/>
  <c r="H28" i="1"/>
  <c r="G28" i="1"/>
  <c r="F28" i="1"/>
  <c r="E28" i="1"/>
  <c r="C28" i="1"/>
  <c r="I21" i="1"/>
  <c r="H21" i="1"/>
  <c r="G21" i="1"/>
  <c r="C21" i="1"/>
  <c r="I13" i="1"/>
  <c r="H13" i="1"/>
  <c r="G13" i="1"/>
  <c r="C13" i="1"/>
  <c r="I6" i="1"/>
  <c r="H6" i="1"/>
  <c r="G6" i="1"/>
  <c r="C6" i="1"/>
  <c r="D8" i="1" l="1"/>
  <c r="D6" i="1"/>
  <c r="D7" i="1"/>
  <c r="G12" i="1" l="1"/>
  <c r="F12" i="1"/>
  <c r="C34" i="1"/>
  <c r="R15" i="1" l="1"/>
  <c r="D29" i="1" l="1"/>
  <c r="G43" i="1" l="1"/>
  <c r="D35" i="1" l="1"/>
  <c r="D21" i="1"/>
  <c r="D22" i="1"/>
  <c r="D36" i="1"/>
  <c r="D13" i="1" l="1"/>
  <c r="R14" i="1" l="1"/>
  <c r="R29" i="1" l="1"/>
  <c r="R22" i="1"/>
  <c r="S22" i="1" s="1"/>
  <c r="R7" i="1"/>
  <c r="S14" i="1"/>
  <c r="T14" i="1" s="1"/>
  <c r="T22" i="1" l="1"/>
  <c r="C43" i="1"/>
  <c r="D30" i="1" l="1"/>
  <c r="D28" i="1"/>
  <c r="D14" i="1" l="1"/>
  <c r="D11" i="1" l="1"/>
  <c r="D10" i="1"/>
  <c r="D9" i="1"/>
  <c r="D46" i="1" l="1"/>
  <c r="D45" i="1"/>
  <c r="D44" i="1"/>
  <c r="D43" i="1"/>
  <c r="D41" i="1"/>
  <c r="D40" i="1"/>
  <c r="D39" i="1"/>
  <c r="D38" i="1"/>
  <c r="D33" i="1"/>
  <c r="E42" i="1" l="1"/>
  <c r="F42" i="1"/>
  <c r="G42" i="1"/>
  <c r="H42" i="1"/>
  <c r="I42" i="1"/>
  <c r="J42" i="1"/>
  <c r="K42" i="1"/>
  <c r="L42" i="1"/>
  <c r="M42" i="1"/>
  <c r="N42" i="1"/>
  <c r="D23" i="1" l="1"/>
  <c r="R13" i="1"/>
  <c r="R16" i="1"/>
  <c r="R17" i="1" l="1"/>
  <c r="R9" i="1"/>
  <c r="R46" i="1"/>
  <c r="R45" i="1"/>
  <c r="R44" i="1"/>
  <c r="R43" i="1"/>
  <c r="R41" i="1"/>
  <c r="R40" i="1"/>
  <c r="R39" i="1"/>
  <c r="R38" i="1"/>
  <c r="R37" i="1"/>
  <c r="R36" i="1"/>
  <c r="R33" i="1"/>
  <c r="R32" i="1"/>
  <c r="R31" i="1"/>
  <c r="R26" i="1"/>
  <c r="R25" i="1"/>
  <c r="R24" i="1"/>
  <c r="R19" i="1"/>
  <c r="R18" i="1"/>
  <c r="R11" i="1"/>
  <c r="R10" i="1"/>
  <c r="V10" i="1" s="1"/>
  <c r="R8" i="1"/>
  <c r="V11" i="1" l="1"/>
  <c r="S11" i="1"/>
  <c r="T11" i="1" s="1"/>
  <c r="R35" i="1"/>
  <c r="R28" i="1"/>
  <c r="R30" i="1"/>
  <c r="R23" i="1"/>
  <c r="R21" i="1"/>
  <c r="U12" i="1"/>
  <c r="S9" i="1" l="1"/>
  <c r="D16" i="1" l="1"/>
  <c r="R6" i="1" l="1"/>
  <c r="D17" i="1" l="1"/>
  <c r="V17" i="1"/>
  <c r="D24" i="1"/>
  <c r="S24" i="1"/>
  <c r="W24" i="1" s="1"/>
  <c r="D31" i="1"/>
  <c r="S31" i="1"/>
  <c r="W31" i="1" s="1"/>
  <c r="S38" i="1"/>
  <c r="W38" i="1" l="1"/>
  <c r="T38" i="1"/>
  <c r="T24" i="1"/>
  <c r="X24" i="1" s="1"/>
  <c r="V38" i="1"/>
  <c r="V31" i="1"/>
  <c r="S17" i="1"/>
  <c r="T31" i="1"/>
  <c r="V24" i="1"/>
  <c r="Z24" i="1" l="1"/>
  <c r="Y24" i="1" s="1"/>
  <c r="X38" i="1"/>
  <c r="Z38" i="1"/>
  <c r="Y38" i="1" s="1"/>
  <c r="X31" i="1"/>
  <c r="Z31" i="1"/>
  <c r="Y31" i="1" s="1"/>
  <c r="W17" i="1"/>
  <c r="T17" i="1"/>
  <c r="Z17" i="1" l="1"/>
  <c r="Y17" i="1" s="1"/>
  <c r="X17" i="1"/>
  <c r="S43" i="1" l="1"/>
  <c r="T43" i="1" s="1"/>
  <c r="D25" i="1"/>
  <c r="D18" i="1" l="1"/>
  <c r="D32" i="1" l="1"/>
  <c r="D34" i="1" s="1"/>
  <c r="D26" i="1"/>
  <c r="D19" i="1"/>
  <c r="V18" i="1" l="1"/>
  <c r="S18" i="1" l="1"/>
  <c r="W18" i="1" s="1"/>
  <c r="T18" i="1" l="1"/>
  <c r="H12" i="1"/>
  <c r="I12" i="1"/>
  <c r="J12" i="1"/>
  <c r="K12" i="1"/>
  <c r="E12" i="1"/>
  <c r="S6" i="1" l="1"/>
  <c r="T6" i="1" s="1"/>
  <c r="Z18" i="1"/>
  <c r="Y18" i="1" s="1"/>
  <c r="X18" i="1"/>
  <c r="V45" i="1"/>
  <c r="S45" i="1" l="1"/>
  <c r="W45" i="1" s="1"/>
  <c r="T45" i="1" l="1"/>
  <c r="Z45" i="1" l="1"/>
  <c r="Y45" i="1" s="1"/>
  <c r="X45" i="1"/>
  <c r="S40" i="1" l="1"/>
  <c r="T40" i="1" s="1"/>
  <c r="S35" i="1"/>
  <c r="T9" i="1"/>
  <c r="S21" i="1" l="1"/>
  <c r="S44" i="1"/>
  <c r="S46" i="1"/>
  <c r="T21" i="1" l="1"/>
  <c r="Z21" i="1" s="1"/>
  <c r="S15" i="1" l="1"/>
  <c r="T15" i="1" s="1"/>
  <c r="S41" i="1"/>
  <c r="S39" i="1"/>
  <c r="T39" i="1" s="1"/>
  <c r="S37" i="1"/>
  <c r="S36" i="1"/>
  <c r="T36" i="1" s="1"/>
  <c r="S33" i="1"/>
  <c r="S32" i="1"/>
  <c r="S30" i="1"/>
  <c r="S28" i="1"/>
  <c r="S26" i="1"/>
  <c r="S25" i="1"/>
  <c r="S23" i="1"/>
  <c r="T23" i="1" s="1"/>
  <c r="S19" i="1"/>
  <c r="S10" i="1"/>
  <c r="S8" i="1"/>
  <c r="S7" i="1"/>
  <c r="T7" i="1" s="1"/>
  <c r="U47" i="1"/>
  <c r="U42" i="1"/>
  <c r="U34" i="1"/>
  <c r="U27" i="1"/>
  <c r="U20" i="1"/>
  <c r="S12" i="1" l="1"/>
  <c r="W15" i="1"/>
  <c r="S16" i="1"/>
  <c r="T16" i="1" s="1"/>
  <c r="V33" i="1"/>
  <c r="V37" i="1"/>
  <c r="V22" i="1"/>
  <c r="V8" i="1"/>
  <c r="V40" i="1"/>
  <c r="V29" i="1"/>
  <c r="R20" i="1"/>
  <c r="V25" i="1"/>
  <c r="R47" i="1"/>
  <c r="R12" i="1"/>
  <c r="V26" i="1"/>
  <c r="V13" i="1"/>
  <c r="V39" i="1"/>
  <c r="V43" i="1"/>
  <c r="V44" i="1"/>
  <c r="V46" i="1"/>
  <c r="V41" i="1"/>
  <c r="V36" i="1"/>
  <c r="V35" i="1"/>
  <c r="V21" i="1"/>
  <c r="V32" i="1"/>
  <c r="V28" i="1"/>
  <c r="V23" i="1"/>
  <c r="V30" i="1"/>
  <c r="V6" i="1"/>
  <c r="V14" i="1"/>
  <c r="V16" i="1"/>
  <c r="V19" i="1"/>
  <c r="V15" i="1"/>
  <c r="V9" i="1"/>
  <c r="V7" i="1"/>
  <c r="U48" i="1"/>
  <c r="V12" i="1" l="1"/>
  <c r="V20" i="1"/>
  <c r="V42" i="1"/>
  <c r="W40" i="1"/>
  <c r="W36" i="1"/>
  <c r="W44" i="1"/>
  <c r="W39" i="1"/>
  <c r="W43" i="1"/>
  <c r="V47" i="1"/>
  <c r="W46" i="1"/>
  <c r="W41" i="1"/>
  <c r="W23" i="1"/>
  <c r="W21" i="1"/>
  <c r="W32" i="1"/>
  <c r="V27" i="1"/>
  <c r="V34" i="1"/>
  <c r="W28" i="1"/>
  <c r="W11" i="1"/>
  <c r="W9" i="1"/>
  <c r="W8" i="1"/>
  <c r="W7" i="1"/>
  <c r="R42" i="1"/>
  <c r="R34" i="1"/>
  <c r="R27" i="1"/>
  <c r="W35" i="1"/>
  <c r="W26" i="1"/>
  <c r="W6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C47" i="1"/>
  <c r="O42" i="1"/>
  <c r="P42" i="1"/>
  <c r="Q42" i="1"/>
  <c r="C42" i="1"/>
  <c r="E34" i="1"/>
  <c r="F34" i="1"/>
  <c r="G34" i="1"/>
  <c r="H34" i="1"/>
  <c r="I34" i="1"/>
  <c r="K34" i="1"/>
  <c r="L34" i="1"/>
  <c r="M34" i="1"/>
  <c r="N34" i="1"/>
  <c r="O34" i="1"/>
  <c r="P34" i="1"/>
  <c r="Q34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E20" i="1"/>
  <c r="F20" i="1"/>
  <c r="H20" i="1"/>
  <c r="I20" i="1"/>
  <c r="J20" i="1"/>
  <c r="K20" i="1"/>
  <c r="L20" i="1"/>
  <c r="M20" i="1"/>
  <c r="N20" i="1"/>
  <c r="O20" i="1"/>
  <c r="P20" i="1"/>
  <c r="Q20" i="1"/>
  <c r="L12" i="1"/>
  <c r="M12" i="1"/>
  <c r="N12" i="1"/>
  <c r="O12" i="1"/>
  <c r="P12" i="1"/>
  <c r="Q12" i="1"/>
  <c r="C12" i="1"/>
  <c r="V48" i="1" l="1"/>
  <c r="R48" i="1"/>
  <c r="Z36" i="1"/>
  <c r="Y36" i="1" s="1"/>
  <c r="T44" i="1"/>
  <c r="Z44" i="1" s="1"/>
  <c r="Y44" i="1" s="1"/>
  <c r="Z39" i="1"/>
  <c r="Y39" i="1" s="1"/>
  <c r="X21" i="1"/>
  <c r="X15" i="1"/>
  <c r="X43" i="1"/>
  <c r="T32" i="1"/>
  <c r="X32" i="1" s="1"/>
  <c r="T46" i="1"/>
  <c r="X46" i="1" s="1"/>
  <c r="T41" i="1"/>
  <c r="Z41" i="1" s="1"/>
  <c r="Y41" i="1" s="1"/>
  <c r="T37" i="1"/>
  <c r="W37" i="1"/>
  <c r="W42" i="1" s="1"/>
  <c r="T28" i="1"/>
  <c r="X28" i="1" s="1"/>
  <c r="X11" i="1"/>
  <c r="X40" i="1"/>
  <c r="Z40" i="1"/>
  <c r="Y40" i="1" s="1"/>
  <c r="T30" i="1"/>
  <c r="W30" i="1"/>
  <c r="T25" i="1"/>
  <c r="W25" i="1"/>
  <c r="W22" i="1"/>
  <c r="T19" i="1"/>
  <c r="X19" i="1" s="1"/>
  <c r="W19" i="1"/>
  <c r="X14" i="1"/>
  <c r="W14" i="1"/>
  <c r="X16" i="1"/>
  <c r="W16" i="1"/>
  <c r="W10" i="1"/>
  <c r="W12" i="1" s="1"/>
  <c r="T10" i="1"/>
  <c r="X10" i="1" s="1"/>
  <c r="S42" i="1"/>
  <c r="T35" i="1"/>
  <c r="H48" i="1"/>
  <c r="T26" i="1"/>
  <c r="P48" i="1"/>
  <c r="L48" i="1"/>
  <c r="S27" i="1"/>
  <c r="N48" i="1"/>
  <c r="F48" i="1"/>
  <c r="Q48" i="1"/>
  <c r="M48" i="1"/>
  <c r="I48" i="1"/>
  <c r="E48" i="1"/>
  <c r="O48" i="1"/>
  <c r="K48" i="1"/>
  <c r="D12" i="1"/>
  <c r="D47" i="1"/>
  <c r="D42" i="1"/>
  <c r="X9" i="1" l="1"/>
  <c r="Z9" i="1"/>
  <c r="Y9" i="1" s="1"/>
  <c r="X36" i="1"/>
  <c r="X7" i="1"/>
  <c r="X39" i="1"/>
  <c r="Y21" i="1"/>
  <c r="X44" i="1"/>
  <c r="X47" i="1" s="1"/>
  <c r="Z7" i="1"/>
  <c r="Y7" i="1" s="1"/>
  <c r="Z43" i="1"/>
  <c r="Y43" i="1" s="1"/>
  <c r="Z28" i="1"/>
  <c r="Y28" i="1" s="1"/>
  <c r="Z46" i="1"/>
  <c r="Y46" i="1" s="1"/>
  <c r="T42" i="1"/>
  <c r="Z32" i="1"/>
  <c r="Y32" i="1" s="1"/>
  <c r="X41" i="1"/>
  <c r="W27" i="1"/>
  <c r="W47" i="1"/>
  <c r="Z11" i="1"/>
  <c r="Y11" i="1" s="1"/>
  <c r="X23" i="1"/>
  <c r="X35" i="1"/>
  <c r="Z35" i="1"/>
  <c r="X37" i="1"/>
  <c r="Z37" i="1"/>
  <c r="Y37" i="1" s="1"/>
  <c r="W33" i="1"/>
  <c r="Z25" i="1"/>
  <c r="Y25" i="1" s="1"/>
  <c r="X25" i="1"/>
  <c r="X30" i="1"/>
  <c r="Z30" i="1"/>
  <c r="Y30" i="1" s="1"/>
  <c r="Z22" i="1"/>
  <c r="Y22" i="1" s="1"/>
  <c r="X22" i="1"/>
  <c r="T27" i="1"/>
  <c r="Z26" i="1"/>
  <c r="Y26" i="1" s="1"/>
  <c r="X26" i="1"/>
  <c r="Z16" i="1"/>
  <c r="Y16" i="1" s="1"/>
  <c r="Z19" i="1"/>
  <c r="Y19" i="1" s="1"/>
  <c r="Z6" i="1"/>
  <c r="Y6" i="1" s="1"/>
  <c r="X6" i="1"/>
  <c r="Z14" i="1"/>
  <c r="Y14" i="1" s="1"/>
  <c r="Z10" i="1"/>
  <c r="Y10" i="1" s="1"/>
  <c r="T33" i="1"/>
  <c r="T8" i="1"/>
  <c r="X8" i="1" s="1"/>
  <c r="S47" i="1"/>
  <c r="T12" i="1" l="1"/>
  <c r="X27" i="1"/>
  <c r="Y47" i="1"/>
  <c r="X12" i="1"/>
  <c r="Z42" i="1"/>
  <c r="Z47" i="1"/>
  <c r="X42" i="1"/>
  <c r="Y35" i="1"/>
  <c r="Y42" i="1" s="1"/>
  <c r="T47" i="1"/>
  <c r="X33" i="1"/>
  <c r="Z33" i="1"/>
  <c r="Z8" i="1"/>
  <c r="Y8" i="1" s="1"/>
  <c r="Y12" i="1" s="1"/>
  <c r="Y33" i="1" l="1"/>
  <c r="Z12" i="1"/>
  <c r="C27" i="1"/>
  <c r="Z23" i="1"/>
  <c r="Y23" i="1" s="1"/>
  <c r="Y27" i="1" s="1"/>
  <c r="D27" i="1"/>
  <c r="Z27" i="1" l="1"/>
  <c r="S13" i="1"/>
  <c r="S20" i="1" s="1"/>
  <c r="G20" i="1"/>
  <c r="G48" i="1" s="1"/>
  <c r="T13" i="1" l="1"/>
  <c r="T20" i="1" s="1"/>
  <c r="W13" i="1"/>
  <c r="W20" i="1" s="1"/>
  <c r="X13" i="1" l="1"/>
  <c r="X20" i="1" s="1"/>
  <c r="Z13" i="1"/>
  <c r="Y13" i="1" s="1"/>
  <c r="S29" i="1" l="1"/>
  <c r="W29" i="1" s="1"/>
  <c r="W34" i="1" s="1"/>
  <c r="W48" i="1" s="1"/>
  <c r="J34" i="1"/>
  <c r="J48" i="1" s="1"/>
  <c r="T29" i="1" l="1"/>
  <c r="T34" i="1" s="1"/>
  <c r="T48" i="1" s="1"/>
  <c r="S34" i="1"/>
  <c r="S48" i="1" s="1"/>
  <c r="X29" i="1" l="1"/>
  <c r="X34" i="1" s="1"/>
  <c r="X48" i="1" s="1"/>
  <c r="Z29" i="1"/>
  <c r="Y29" i="1" l="1"/>
  <c r="Y34" i="1" s="1"/>
  <c r="Z34" i="1"/>
  <c r="C20" i="1" l="1"/>
  <c r="C48" i="1" s="1"/>
  <c r="Z48" i="1" s="1"/>
  <c r="Y48" i="1" s="1"/>
  <c r="D15" i="1"/>
  <c r="D20" i="1" s="1"/>
  <c r="D48" i="1" s="1"/>
  <c r="Z15" i="1" l="1"/>
  <c r="Y15" i="1" l="1"/>
  <c r="Y20" i="1" s="1"/>
  <c r="Z20" i="1"/>
</calcChain>
</file>

<file path=xl/sharedStrings.xml><?xml version="1.0" encoding="utf-8"?>
<sst xmlns="http://schemas.openxmlformats.org/spreadsheetml/2006/main" count="74" uniqueCount="35">
  <si>
    <t>Agami Apparels Ltd</t>
  </si>
  <si>
    <t>Nayapara, Kathgora, Ashulia, Savar, Dhaka-1344</t>
  </si>
  <si>
    <t>Floor</t>
  </si>
  <si>
    <t>Depertment</t>
  </si>
  <si>
    <t>Floor 01</t>
  </si>
  <si>
    <t>Sewing</t>
  </si>
  <si>
    <t>Finishing</t>
  </si>
  <si>
    <t>Quality</t>
  </si>
  <si>
    <t>Cutting</t>
  </si>
  <si>
    <t>PAD</t>
  </si>
  <si>
    <t>House Keeping</t>
  </si>
  <si>
    <t>Sub Total</t>
  </si>
  <si>
    <t>Floor 02</t>
  </si>
  <si>
    <t>Quilting</t>
  </si>
  <si>
    <t>Floor 03</t>
  </si>
  <si>
    <t>Floor 04</t>
  </si>
  <si>
    <t>Floor 05</t>
  </si>
  <si>
    <t>Pilot Line</t>
  </si>
  <si>
    <t>Common Floor</t>
  </si>
  <si>
    <t>Store</t>
  </si>
  <si>
    <t>Grand Total</t>
  </si>
  <si>
    <t>TTL Plan OT</t>
  </si>
  <si>
    <t>TTL EOT</t>
  </si>
  <si>
    <t>TTL OT Hour</t>
  </si>
  <si>
    <t>Avg OT Rate</t>
  </si>
  <si>
    <t>Plan OT Cost</t>
  </si>
  <si>
    <t>EOT Cost</t>
  </si>
  <si>
    <t>Total OT Cost</t>
  </si>
  <si>
    <t>Avg Working Hour</t>
  </si>
  <si>
    <t>Avg OT Hour</t>
  </si>
  <si>
    <t>Reason For Diff + After 9 pm</t>
  </si>
  <si>
    <t>As Sewing and Finishing Plan</t>
  </si>
  <si>
    <t>PAD&amp;LOADER</t>
  </si>
  <si>
    <t>Maiint, Utl, Elc and others</t>
  </si>
  <si>
    <t>OT Requisition Summary Date: 20 August-2026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</si>
</sst>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B686-DEBC-4CBA-A9D7-38ACE0755368}">
  <sheetPr>
    <pageSetUpPr fitToPage="1"/>
  </sheetPr>
  <dimension ref="A1:AA49"/>
  <sheetViews>
    <sheetView tabSelected="1" zoomScale="77" zoomScaleNormal="77" zoomScaleSheetLayoutView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T35" sqref="T35"/>
    </sheetView>
  </sheetViews>
  <sheetFormatPr defaultRowHeight="15" x14ac:dyDescent="0.25"/>
  <cols>
    <col min="1" max="1" width="9.7109375" style="4" customWidth="1"/>
    <col min="2" max="2" width="13.5703125" style="4" customWidth="1"/>
    <col min="3" max="3" width="10.5703125" style="4" customWidth="1"/>
    <col min="4" max="4" width="7.7109375" style="4" customWidth="1"/>
    <col min="5" max="5" width="7.85546875" style="4" customWidth="1"/>
    <col min="6" max="6" width="9.140625" style="4" customWidth="1"/>
    <col min="7" max="7" width="8.140625" style="4" customWidth="1"/>
    <col min="8" max="11" width="7.7109375" style="4" customWidth="1"/>
    <col min="12" max="14" width="6" style="4" customWidth="1"/>
    <col min="15" max="16" width="6" style="4" hidden="1" customWidth="1"/>
    <col min="17" max="17" width="5.5703125" style="4" hidden="1" customWidth="1"/>
    <col min="18" max="21" width="10.140625" style="4" customWidth="1"/>
    <col min="22" max="24" width="10.140625" style="10" customWidth="1"/>
    <col min="25" max="25" width="12.85546875" style="12" customWidth="1"/>
    <col min="26" max="26" width="10.140625" style="12" customWidth="1"/>
    <col min="27" max="27" width="85" style="19" customWidth="1"/>
    <col min="28" max="28" width="1.28515625" customWidth="1"/>
  </cols>
  <sheetData>
    <row r="1" spans="1:27" ht="25.5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7" ht="16.5" x14ac:dyDescent="0.25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ht="18" x14ac:dyDescent="0.25">
      <c r="A3" s="38" t="s">
        <v>34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 spans="1:27" ht="16.5" x14ac:dyDescent="0.25">
      <c r="A4" s="39" t="s">
        <v>2</v>
      </c>
      <c r="B4" s="39" t="s">
        <v>3</v>
      </c>
      <c r="C4" s="26">
        <v>0</v>
      </c>
      <c r="D4" s="13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/>
      <c r="L4" s="14"/>
      <c r="M4" s="14"/>
      <c r="N4" s="14"/>
      <c r="O4" s="14"/>
      <c r="P4" s="14"/>
      <c r="Q4" s="14"/>
      <c r="R4" s="26" t="s">
        <v>21</v>
      </c>
      <c r="S4" s="26" t="s">
        <v>22</v>
      </c>
      <c r="T4" s="26" t="s">
        <v>23</v>
      </c>
      <c r="U4" s="26" t="s">
        <v>24</v>
      </c>
      <c r="V4" s="43" t="s">
        <v>25</v>
      </c>
      <c r="W4" s="43" t="s">
        <v>26</v>
      </c>
      <c r="X4" s="43" t="s">
        <v>27</v>
      </c>
      <c r="Y4" s="41" t="s">
        <v>28</v>
      </c>
      <c r="Z4" s="41" t="s">
        <v>29</v>
      </c>
      <c r="AA4" s="26" t="s">
        <v>30</v>
      </c>
    </row>
    <row r="5" spans="1:27" ht="16.5" x14ac:dyDescent="0.25">
      <c r="A5" s="40"/>
      <c r="B5" s="40"/>
      <c r="C5" s="27"/>
      <c r="D5" s="16">
        <v>0</v>
      </c>
      <c r="E5" s="16">
        <v>1</v>
      </c>
      <c r="F5" s="16">
        <v>2</v>
      </c>
      <c r="G5" s="16">
        <v>3</v>
      </c>
      <c r="H5" s="16">
        <v>4</v>
      </c>
      <c r="I5" s="16">
        <v>5</v>
      </c>
      <c r="J5" s="16">
        <v>6</v>
      </c>
      <c r="K5" s="16">
        <v>7</v>
      </c>
      <c r="L5" s="16">
        <v>8</v>
      </c>
      <c r="M5" s="16">
        <v>9</v>
      </c>
      <c r="N5" s="16">
        <v>10</v>
      </c>
      <c r="O5" s="16">
        <v>11</v>
      </c>
      <c r="P5" s="16">
        <v>12</v>
      </c>
      <c r="Q5" s="16">
        <v>13</v>
      </c>
      <c r="R5" s="27"/>
      <c r="S5" s="27"/>
      <c r="T5" s="27"/>
      <c r="U5" s="27"/>
      <c r="V5" s="44"/>
      <c r="W5" s="44"/>
      <c r="X5" s="44"/>
      <c r="Y5" s="42"/>
      <c r="Z5" s="42"/>
      <c r="AA5" s="27"/>
    </row>
    <row r="6" spans="1:27" ht="29.25" customHeight="1" x14ac:dyDescent="0.25">
      <c r="A6" s="30" t="s">
        <v>4</v>
      </c>
      <c r="B6" s="21" t="s">
        <v>5</v>
      </c>
      <c r="C6" s="1">
        <f>811-41</f>
        <v>770</v>
      </c>
      <c r="D6" s="1">
        <f t="shared" ref="D6:D11" si="0">C6</f>
        <v>770</v>
      </c>
      <c r="E6" s="1">
        <v>770</v>
      </c>
      <c r="F6" s="1">
        <v>770</v>
      </c>
      <c r="G6" s="1">
        <f>244-30</f>
        <v>214</v>
      </c>
      <c r="H6" s="1">
        <f>130-30</f>
        <v>100</v>
      </c>
      <c r="I6" s="1">
        <f>55-5</f>
        <v>50</v>
      </c>
      <c r="J6" s="1"/>
      <c r="K6" s="1"/>
      <c r="L6" s="1"/>
      <c r="M6" s="1"/>
      <c r="N6" s="1"/>
      <c r="O6" s="1"/>
      <c r="P6" s="1"/>
      <c r="Q6" s="1"/>
      <c r="R6" s="1">
        <f t="shared" ref="R6:R11" si="1">E6+F6</f>
        <v>1540</v>
      </c>
      <c r="S6" s="1">
        <f>SUM(E6:Q6)-R6</f>
        <v>364</v>
      </c>
      <c r="T6" s="1">
        <f>R6+S6</f>
        <v>1904</v>
      </c>
      <c r="U6" s="11">
        <v>77.702539999999999</v>
      </c>
      <c r="V6" s="7">
        <f>R6*U6</f>
        <v>119661.91159999999</v>
      </c>
      <c r="W6" s="7">
        <f>S6*U6</f>
        <v>28283.724559999999</v>
      </c>
      <c r="X6" s="7">
        <f>T6*U6</f>
        <v>147945.63615999999</v>
      </c>
      <c r="Y6" s="11">
        <f>8+Z6</f>
        <v>10.472727272727273</v>
      </c>
      <c r="Z6" s="11">
        <f>T6/C6</f>
        <v>2.4727272727272727</v>
      </c>
      <c r="AA6" s="15"/>
    </row>
    <row r="7" spans="1:27" ht="29.25" customHeight="1" x14ac:dyDescent="0.25">
      <c r="A7" s="31"/>
      <c r="B7" s="21" t="s">
        <v>6</v>
      </c>
      <c r="C7" s="1">
        <v>199</v>
      </c>
      <c r="D7" s="1">
        <f t="shared" si="0"/>
        <v>199</v>
      </c>
      <c r="E7" s="1">
        <v>199</v>
      </c>
      <c r="F7" s="1">
        <v>199</v>
      </c>
      <c r="G7" s="1">
        <v>199</v>
      </c>
      <c r="H7" s="1">
        <v>199</v>
      </c>
      <c r="I7" s="1">
        <v>15</v>
      </c>
      <c r="J7" s="1">
        <v>15</v>
      </c>
      <c r="K7" s="1">
        <v>15</v>
      </c>
      <c r="L7" s="1"/>
      <c r="M7" s="1"/>
      <c r="N7" s="1"/>
      <c r="O7" s="1"/>
      <c r="P7" s="1"/>
      <c r="Q7" s="1"/>
      <c r="R7" s="1">
        <f t="shared" si="1"/>
        <v>398</v>
      </c>
      <c r="S7" s="1">
        <f t="shared" ref="S7:S41" si="2">SUM(E7:Q7)-R7</f>
        <v>443</v>
      </c>
      <c r="T7" s="1">
        <f>R7+S7</f>
        <v>841</v>
      </c>
      <c r="U7" s="1">
        <v>73.790000000000006</v>
      </c>
      <c r="V7" s="7">
        <f t="shared" ref="V7:V8" si="3">R7*U7</f>
        <v>29368.420000000002</v>
      </c>
      <c r="W7" s="7">
        <f t="shared" ref="W7:W11" si="4">S7*U7</f>
        <v>32688.97</v>
      </c>
      <c r="X7" s="7">
        <f t="shared" ref="X7:X11" si="5">T7*U7</f>
        <v>62057.390000000007</v>
      </c>
      <c r="Y7" s="11">
        <f t="shared" ref="Y7:Y11" si="6">8+Z7</f>
        <v>12.226130653266331</v>
      </c>
      <c r="Z7" s="11">
        <f t="shared" ref="Z7:Z11" si="7">T7/C7</f>
        <v>4.2261306532663321</v>
      </c>
      <c r="AA7" s="15"/>
    </row>
    <row r="8" spans="1:27" ht="29.25" customHeight="1" x14ac:dyDescent="0.25">
      <c r="A8" s="31"/>
      <c r="B8" s="21" t="s">
        <v>7</v>
      </c>
      <c r="C8" s="1">
        <f>41+61+8</f>
        <v>110</v>
      </c>
      <c r="D8" s="1">
        <f t="shared" si="0"/>
        <v>110</v>
      </c>
      <c r="E8" s="1">
        <v>110</v>
      </c>
      <c r="F8" s="1">
        <v>110</v>
      </c>
      <c r="G8" s="1">
        <v>93</v>
      </c>
      <c r="H8" s="1">
        <v>93</v>
      </c>
      <c r="I8" s="1">
        <v>7</v>
      </c>
      <c r="J8" s="1"/>
      <c r="K8" s="1"/>
      <c r="L8" s="1"/>
      <c r="M8" s="1"/>
      <c r="N8" s="1"/>
      <c r="O8" s="1"/>
      <c r="P8" s="1"/>
      <c r="Q8" s="1"/>
      <c r="R8" s="1">
        <f t="shared" si="1"/>
        <v>220</v>
      </c>
      <c r="S8" s="1">
        <f t="shared" si="2"/>
        <v>193</v>
      </c>
      <c r="T8" s="1">
        <f t="shared" ref="T8:T11" si="8">R8+S8</f>
        <v>413</v>
      </c>
      <c r="U8" s="1">
        <v>77.209999999999994</v>
      </c>
      <c r="V8" s="7">
        <f t="shared" si="3"/>
        <v>16986.199999999997</v>
      </c>
      <c r="W8" s="7">
        <f t="shared" si="4"/>
        <v>14901.529999999999</v>
      </c>
      <c r="X8" s="7">
        <f t="shared" si="5"/>
        <v>31887.729999999996</v>
      </c>
      <c r="Y8" s="11">
        <f t="shared" si="6"/>
        <v>11.754545454545454</v>
      </c>
      <c r="Z8" s="11">
        <f t="shared" si="7"/>
        <v>3.7545454545454544</v>
      </c>
      <c r="AA8" s="15" t="s">
        <v>31</v>
      </c>
    </row>
    <row r="9" spans="1:27" ht="29.25" customHeight="1" x14ac:dyDescent="0.25">
      <c r="A9" s="31"/>
      <c r="B9" s="21" t="s">
        <v>8</v>
      </c>
      <c r="C9" s="1">
        <v>38</v>
      </c>
      <c r="D9" s="1">
        <f t="shared" si="0"/>
        <v>38</v>
      </c>
      <c r="E9" s="1">
        <v>38</v>
      </c>
      <c r="F9" s="1">
        <v>38</v>
      </c>
      <c r="G9" s="1">
        <v>15</v>
      </c>
      <c r="H9" s="1">
        <v>15</v>
      </c>
      <c r="I9" s="1">
        <v>15</v>
      </c>
      <c r="J9" s="1"/>
      <c r="K9" s="1"/>
      <c r="L9" s="1"/>
      <c r="M9" s="1"/>
      <c r="N9" s="1"/>
      <c r="O9" s="1"/>
      <c r="P9" s="1"/>
      <c r="Q9" s="1"/>
      <c r="R9" s="1">
        <f t="shared" si="1"/>
        <v>76</v>
      </c>
      <c r="S9" s="1">
        <f>SUM(E9:Q9)-R9</f>
        <v>45</v>
      </c>
      <c r="T9" s="1">
        <f>R9+S9</f>
        <v>121</v>
      </c>
      <c r="U9" s="11">
        <v>77.011047000000005</v>
      </c>
      <c r="V9" s="7">
        <f>R9*U9</f>
        <v>5852.8395720000008</v>
      </c>
      <c r="W9" s="7">
        <f>S9*U9</f>
        <v>3465.4971150000001</v>
      </c>
      <c r="X9" s="7">
        <f>T9*U9</f>
        <v>9318.3366870000009</v>
      </c>
      <c r="Y9" s="11">
        <f>8+Z9</f>
        <v>11.184210526315789</v>
      </c>
      <c r="Z9" s="11">
        <f>T9/C9</f>
        <v>3.1842105263157894</v>
      </c>
      <c r="AA9" s="15"/>
    </row>
    <row r="10" spans="1:27" ht="29.25" customHeight="1" x14ac:dyDescent="0.25">
      <c r="A10" s="31"/>
      <c r="B10" s="21" t="s">
        <v>9</v>
      </c>
      <c r="C10" s="1">
        <v>7</v>
      </c>
      <c r="D10" s="1">
        <f t="shared" si="0"/>
        <v>7</v>
      </c>
      <c r="E10" s="1">
        <v>7</v>
      </c>
      <c r="F10" s="1">
        <v>7</v>
      </c>
      <c r="G10" s="1">
        <v>7</v>
      </c>
      <c r="H10" s="1">
        <v>7</v>
      </c>
      <c r="I10" s="1">
        <v>7</v>
      </c>
      <c r="J10" s="1"/>
      <c r="K10" s="1"/>
      <c r="L10" s="1"/>
      <c r="M10" s="1"/>
      <c r="N10" s="1"/>
      <c r="O10" s="1"/>
      <c r="P10" s="1"/>
      <c r="Q10" s="1"/>
      <c r="R10" s="1">
        <f t="shared" si="1"/>
        <v>14</v>
      </c>
      <c r="S10" s="1">
        <f t="shared" si="2"/>
        <v>21</v>
      </c>
      <c r="T10" s="1">
        <f t="shared" si="8"/>
        <v>35</v>
      </c>
      <c r="U10" s="1">
        <v>75.41</v>
      </c>
      <c r="V10" s="7">
        <f>R10*U10</f>
        <v>1055.74</v>
      </c>
      <c r="W10" s="7">
        <f t="shared" si="4"/>
        <v>1583.61</v>
      </c>
      <c r="X10" s="7">
        <f t="shared" si="5"/>
        <v>2639.35</v>
      </c>
      <c r="Y10" s="11">
        <f t="shared" si="6"/>
        <v>13</v>
      </c>
      <c r="Z10" s="11">
        <f t="shared" si="7"/>
        <v>5</v>
      </c>
      <c r="AA10" s="15" t="s">
        <v>31</v>
      </c>
    </row>
    <row r="11" spans="1:27" ht="29.25" customHeight="1" x14ac:dyDescent="0.25">
      <c r="A11" s="32"/>
      <c r="B11" s="21" t="s">
        <v>10</v>
      </c>
      <c r="C11" s="1"/>
      <c r="D11" s="1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f t="shared" si="1"/>
        <v>0</v>
      </c>
      <c r="S11" s="1">
        <f t="shared" si="2"/>
        <v>0</v>
      </c>
      <c r="T11" s="1">
        <f t="shared" si="8"/>
        <v>0</v>
      </c>
      <c r="U11" s="1">
        <v>75.319999999999993</v>
      </c>
      <c r="V11" s="7">
        <f>R11*U11</f>
        <v>0</v>
      </c>
      <c r="W11" s="7">
        <f t="shared" si="4"/>
        <v>0</v>
      </c>
      <c r="X11" s="7">
        <f t="shared" si="5"/>
        <v>0</v>
      </c>
      <c r="Y11" s="11" t="e">
        <f t="shared" si="6"/>
        <v>#DIV/0!</v>
      </c>
      <c r="Z11" s="11" t="e">
        <f t="shared" si="7"/>
        <v>#DIV/0!</v>
      </c>
      <c r="AA11" s="15"/>
    </row>
    <row r="12" spans="1:27" ht="29.25" customHeight="1" x14ac:dyDescent="0.25">
      <c r="A12" s="28" t="s">
        <v>11</v>
      </c>
      <c r="B12" s="29"/>
      <c r="C12" s="2">
        <f t="shared" ref="C12:Q12" si="9">SUM(C6:C11)</f>
        <v>1124</v>
      </c>
      <c r="D12" s="2">
        <f t="shared" si="9"/>
        <v>1124</v>
      </c>
      <c r="E12" s="2">
        <f>SUM(E6:E11)</f>
        <v>1124</v>
      </c>
      <c r="F12" s="2">
        <f t="shared" ref="F12:K12" si="10">SUM(F6:F11)</f>
        <v>1124</v>
      </c>
      <c r="G12" s="2">
        <f t="shared" si="10"/>
        <v>528</v>
      </c>
      <c r="H12" s="2">
        <f t="shared" si="10"/>
        <v>414</v>
      </c>
      <c r="I12" s="2">
        <f t="shared" si="10"/>
        <v>94</v>
      </c>
      <c r="J12" s="2">
        <f t="shared" si="10"/>
        <v>15</v>
      </c>
      <c r="K12" s="2">
        <f t="shared" si="10"/>
        <v>15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>SUM(R6:R11)</f>
        <v>2248</v>
      </c>
      <c r="S12" s="2">
        <f t="shared" ref="S12:T12" si="11">SUM(S6:S11)</f>
        <v>1066</v>
      </c>
      <c r="T12" s="2">
        <f t="shared" si="11"/>
        <v>3314</v>
      </c>
      <c r="U12" s="8">
        <f t="shared" ref="U12" si="12">SUM(U6:U11)</f>
        <v>456.44358700000004</v>
      </c>
      <c r="V12" s="8">
        <f>SUM(V6:V11)</f>
        <v>172925.11117199998</v>
      </c>
      <c r="W12" s="8">
        <f>SUM(W6:W11)</f>
        <v>80923.331675000009</v>
      </c>
      <c r="X12" s="8">
        <f>SUM(X6:X11)</f>
        <v>253848.442847</v>
      </c>
      <c r="Y12" s="5" t="e">
        <f>AVERAGE(Y6:Y11)</f>
        <v>#DIV/0!</v>
      </c>
      <c r="Z12" s="5" t="e">
        <f>AVERAGE(Z6:Z11)</f>
        <v>#DIV/0!</v>
      </c>
      <c r="AA12" s="17"/>
    </row>
    <row r="13" spans="1:27" ht="28.5" customHeight="1" x14ac:dyDescent="0.25">
      <c r="A13" s="30" t="s">
        <v>12</v>
      </c>
      <c r="B13" s="21" t="s">
        <v>5</v>
      </c>
      <c r="C13" s="1">
        <f>842-38-90</f>
        <v>714</v>
      </c>
      <c r="D13" s="1">
        <f t="shared" ref="D13:D19" si="13">C13</f>
        <v>714</v>
      </c>
      <c r="E13" s="1">
        <v>714</v>
      </c>
      <c r="F13" s="1">
        <v>714</v>
      </c>
      <c r="G13" s="1">
        <f>250-90-25</f>
        <v>135</v>
      </c>
      <c r="H13" s="1">
        <f>50-10</f>
        <v>40</v>
      </c>
      <c r="I13" s="1">
        <f>30-5</f>
        <v>25</v>
      </c>
      <c r="J13" s="1"/>
      <c r="K13" s="1"/>
      <c r="L13" s="1"/>
      <c r="M13" s="1"/>
      <c r="N13" s="1"/>
      <c r="O13" s="1"/>
      <c r="P13" s="1"/>
      <c r="Q13" s="1"/>
      <c r="R13" s="1">
        <f t="shared" ref="R13:R19" si="14">E13+F13</f>
        <v>1428</v>
      </c>
      <c r="S13" s="1">
        <f>SUM(E13:Q13)-R13</f>
        <v>200</v>
      </c>
      <c r="T13" s="1">
        <f>R13+S13</f>
        <v>1628</v>
      </c>
      <c r="U13" s="11">
        <v>77.482214999999997</v>
      </c>
      <c r="V13" s="7">
        <f>R13*U13</f>
        <v>110644.60302</v>
      </c>
      <c r="W13" s="7">
        <f>S13*U13</f>
        <v>15496.442999999999</v>
      </c>
      <c r="X13" s="7">
        <f>T13*U13</f>
        <v>126141.04601999999</v>
      </c>
      <c r="Y13" s="11">
        <f>8+Z13</f>
        <v>10.280112044817926</v>
      </c>
      <c r="Z13" s="11">
        <f>T13/D13</f>
        <v>2.2801120448179271</v>
      </c>
      <c r="AA13" s="15"/>
    </row>
    <row r="14" spans="1:27" ht="29.25" customHeight="1" x14ac:dyDescent="0.25">
      <c r="A14" s="31"/>
      <c r="B14" s="21" t="s">
        <v>6</v>
      </c>
      <c r="C14" s="1">
        <v>175</v>
      </c>
      <c r="D14" s="1">
        <f t="shared" si="13"/>
        <v>175</v>
      </c>
      <c r="E14" s="1">
        <v>175</v>
      </c>
      <c r="F14" s="1">
        <v>175</v>
      </c>
      <c r="G14" s="1">
        <v>175</v>
      </c>
      <c r="H14" s="1">
        <v>175</v>
      </c>
      <c r="I14" s="1">
        <v>175</v>
      </c>
      <c r="J14" s="1"/>
      <c r="K14" s="1"/>
      <c r="L14" s="1"/>
      <c r="M14" s="1"/>
      <c r="N14" s="1"/>
      <c r="O14" s="1"/>
      <c r="P14" s="1"/>
      <c r="Q14" s="1"/>
      <c r="R14" s="1">
        <f>E14+F14</f>
        <v>350</v>
      </c>
      <c r="S14" s="1">
        <f>SUM(E14:Q14)-R14</f>
        <v>525</v>
      </c>
      <c r="T14" s="1">
        <f>R14+S14</f>
        <v>875</v>
      </c>
      <c r="U14" s="1">
        <v>73.709999999999994</v>
      </c>
      <c r="V14" s="7">
        <f t="shared" ref="V14:V19" si="15">R14*U14</f>
        <v>25798.499999999996</v>
      </c>
      <c r="W14" s="7">
        <f t="shared" ref="W14:W19" si="16">S14*U14</f>
        <v>38697.75</v>
      </c>
      <c r="X14" s="7">
        <f t="shared" ref="X14:X19" si="17">T14*U14</f>
        <v>64496.249999999993</v>
      </c>
      <c r="Y14" s="11">
        <f t="shared" ref="Y14:Y19" si="18">8+Z14</f>
        <v>13</v>
      </c>
      <c r="Z14" s="11">
        <f t="shared" ref="Z14:Z19" si="19">T14/D14</f>
        <v>5</v>
      </c>
      <c r="AA14" s="15"/>
    </row>
    <row r="15" spans="1:27" ht="29.25" customHeight="1" x14ac:dyDescent="0.25">
      <c r="A15" s="31"/>
      <c r="B15" s="21" t="s">
        <v>7</v>
      </c>
      <c r="C15" s="1">
        <f>38+77+8</f>
        <v>123</v>
      </c>
      <c r="D15" s="1">
        <f>C15</f>
        <v>123</v>
      </c>
      <c r="E15" s="1">
        <v>123</v>
      </c>
      <c r="F15" s="1">
        <v>123</v>
      </c>
      <c r="G15" s="1">
        <v>104</v>
      </c>
      <c r="H15" s="1">
        <v>89</v>
      </c>
      <c r="I15" s="1">
        <v>84</v>
      </c>
      <c r="J15" s="1"/>
      <c r="K15" s="1"/>
      <c r="L15" s="1"/>
      <c r="M15" s="1"/>
      <c r="N15" s="1"/>
      <c r="O15" s="1"/>
      <c r="P15" s="1"/>
      <c r="Q15" s="1"/>
      <c r="R15" s="1">
        <f t="shared" si="14"/>
        <v>246</v>
      </c>
      <c r="S15" s="1">
        <f t="shared" si="2"/>
        <v>277</v>
      </c>
      <c r="T15" s="1">
        <f t="shared" ref="T15:T19" si="20">R15+S15</f>
        <v>523</v>
      </c>
      <c r="U15" s="1">
        <v>75.75</v>
      </c>
      <c r="V15" s="7">
        <f t="shared" si="15"/>
        <v>18634.5</v>
      </c>
      <c r="W15" s="7">
        <f t="shared" si="16"/>
        <v>20982.75</v>
      </c>
      <c r="X15" s="7">
        <f t="shared" si="17"/>
        <v>39617.25</v>
      </c>
      <c r="Y15" s="11">
        <f t="shared" si="18"/>
        <v>12.252032520325203</v>
      </c>
      <c r="Z15" s="11">
        <f t="shared" si="19"/>
        <v>4.2520325203252032</v>
      </c>
      <c r="AA15" s="15" t="s">
        <v>31</v>
      </c>
    </row>
    <row r="16" spans="1:27" ht="29.25" customHeight="1" x14ac:dyDescent="0.25">
      <c r="A16" s="31"/>
      <c r="B16" s="21" t="s">
        <v>13</v>
      </c>
      <c r="C16" s="1">
        <v>90</v>
      </c>
      <c r="D16" s="1">
        <f>C16</f>
        <v>90</v>
      </c>
      <c r="E16" s="1">
        <v>180</v>
      </c>
      <c r="F16" s="1">
        <v>180</v>
      </c>
      <c r="G16" s="1">
        <v>180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>
        <f t="shared" si="14"/>
        <v>360</v>
      </c>
      <c r="S16" s="1">
        <f t="shared" si="2"/>
        <v>180</v>
      </c>
      <c r="T16" s="1">
        <f>R16+S16</f>
        <v>540</v>
      </c>
      <c r="U16" s="1">
        <v>71.73</v>
      </c>
      <c r="V16" s="7">
        <f t="shared" si="15"/>
        <v>25822.800000000003</v>
      </c>
      <c r="W16" s="7">
        <f t="shared" si="16"/>
        <v>12911.400000000001</v>
      </c>
      <c r="X16" s="7">
        <f t="shared" si="17"/>
        <v>38734.200000000004</v>
      </c>
      <c r="Y16" s="11">
        <f t="shared" si="18"/>
        <v>14</v>
      </c>
      <c r="Z16" s="11">
        <f t="shared" si="19"/>
        <v>6</v>
      </c>
      <c r="AA16" s="15"/>
    </row>
    <row r="17" spans="1:27" ht="29.25" customHeight="1" x14ac:dyDescent="0.25">
      <c r="A17" s="31"/>
      <c r="B17" s="21" t="s">
        <v>8</v>
      </c>
      <c r="C17" s="1">
        <v>38</v>
      </c>
      <c r="D17" s="1">
        <f t="shared" si="13"/>
        <v>38</v>
      </c>
      <c r="E17" s="1">
        <v>38</v>
      </c>
      <c r="F17" s="1">
        <v>38</v>
      </c>
      <c r="G17" s="1">
        <v>15</v>
      </c>
      <c r="H17" s="1">
        <v>15</v>
      </c>
      <c r="I17" s="1">
        <v>15</v>
      </c>
      <c r="J17" s="1"/>
      <c r="K17" s="1"/>
      <c r="L17" s="1"/>
      <c r="M17" s="1"/>
      <c r="N17" s="1"/>
      <c r="O17" s="1"/>
      <c r="P17" s="1"/>
      <c r="Q17" s="1"/>
      <c r="R17" s="1">
        <f>E17+F17</f>
        <v>76</v>
      </c>
      <c r="S17" s="1">
        <f>SUM(E17:Q17)-R17</f>
        <v>45</v>
      </c>
      <c r="T17" s="1">
        <f>R17+S17</f>
        <v>121</v>
      </c>
      <c r="U17" s="11">
        <v>75.277641000000003</v>
      </c>
      <c r="V17" s="7">
        <f>R17*U17</f>
        <v>5721.1007159999999</v>
      </c>
      <c r="W17" s="7">
        <f>S17*U17</f>
        <v>3387.493845</v>
      </c>
      <c r="X17" s="7">
        <f>T17*U17</f>
        <v>9108.5945609999999</v>
      </c>
      <c r="Y17" s="11">
        <f>8+Z17</f>
        <v>11.184210526315789</v>
      </c>
      <c r="Z17" s="11">
        <f>T17/D17</f>
        <v>3.1842105263157894</v>
      </c>
      <c r="AA17" s="15"/>
    </row>
    <row r="18" spans="1:27" ht="29.25" customHeight="1" x14ac:dyDescent="0.25">
      <c r="A18" s="31"/>
      <c r="B18" s="21" t="s">
        <v>9</v>
      </c>
      <c r="C18" s="1">
        <v>7</v>
      </c>
      <c r="D18" s="1">
        <f t="shared" si="13"/>
        <v>7</v>
      </c>
      <c r="E18" s="1">
        <v>7</v>
      </c>
      <c r="F18" s="1">
        <v>7</v>
      </c>
      <c r="G18" s="1">
        <v>7</v>
      </c>
      <c r="H18" s="1">
        <v>7</v>
      </c>
      <c r="I18" s="1">
        <v>7</v>
      </c>
      <c r="J18" s="1"/>
      <c r="K18" s="1"/>
      <c r="L18" s="1"/>
      <c r="M18" s="1"/>
      <c r="N18" s="1"/>
      <c r="O18" s="1"/>
      <c r="P18" s="1"/>
      <c r="Q18" s="1"/>
      <c r="R18" s="1">
        <f t="shared" si="14"/>
        <v>14</v>
      </c>
      <c r="S18" s="1">
        <f t="shared" ref="S18" si="21">SUM(E18:Q18)-R18</f>
        <v>21</v>
      </c>
      <c r="T18" s="1">
        <f t="shared" ref="T18" si="22">R18+S18</f>
        <v>35</v>
      </c>
      <c r="U18" s="1">
        <v>75.41</v>
      </c>
      <c r="V18" s="7">
        <f t="shared" ref="V18" si="23">R18*U18</f>
        <v>1055.74</v>
      </c>
      <c r="W18" s="7">
        <f t="shared" ref="W18" si="24">S18*U18</f>
        <v>1583.61</v>
      </c>
      <c r="X18" s="7">
        <f t="shared" ref="X18" si="25">T18*U18</f>
        <v>2639.35</v>
      </c>
      <c r="Y18" s="11">
        <f t="shared" ref="Y18" si="26">8+Z18</f>
        <v>13</v>
      </c>
      <c r="Z18" s="11">
        <f t="shared" ref="Z18" si="27">T18/D18</f>
        <v>5</v>
      </c>
      <c r="AA18" s="15" t="s">
        <v>31</v>
      </c>
    </row>
    <row r="19" spans="1:27" ht="29.25" customHeight="1" x14ac:dyDescent="0.25">
      <c r="A19" s="32"/>
      <c r="B19" s="21" t="s">
        <v>10</v>
      </c>
      <c r="C19" s="1"/>
      <c r="D19" s="1">
        <f t="shared" si="13"/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>
        <f t="shared" si="14"/>
        <v>0</v>
      </c>
      <c r="S19" s="1">
        <f t="shared" si="2"/>
        <v>0</v>
      </c>
      <c r="T19" s="1">
        <f t="shared" si="20"/>
        <v>0</v>
      </c>
      <c r="U19" s="1">
        <v>75.319999999999993</v>
      </c>
      <c r="V19" s="7">
        <f t="shared" si="15"/>
        <v>0</v>
      </c>
      <c r="W19" s="7">
        <f t="shared" si="16"/>
        <v>0</v>
      </c>
      <c r="X19" s="7">
        <f t="shared" si="17"/>
        <v>0</v>
      </c>
      <c r="Y19" s="11" t="e">
        <f t="shared" si="18"/>
        <v>#DIV/0!</v>
      </c>
      <c r="Z19" s="11" t="e">
        <f t="shared" si="19"/>
        <v>#DIV/0!</v>
      </c>
      <c r="AA19" s="15"/>
    </row>
    <row r="20" spans="1:27" ht="29.25" customHeight="1" x14ac:dyDescent="0.25">
      <c r="A20" s="28" t="s">
        <v>11</v>
      </c>
      <c r="B20" s="29"/>
      <c r="C20" s="2">
        <f t="shared" ref="C20:T20" si="28">SUM(C13:C19)</f>
        <v>1147</v>
      </c>
      <c r="D20" s="2">
        <f t="shared" si="28"/>
        <v>1147</v>
      </c>
      <c r="E20" s="2">
        <f t="shared" si="28"/>
        <v>1237</v>
      </c>
      <c r="F20" s="2">
        <f t="shared" si="28"/>
        <v>1237</v>
      </c>
      <c r="G20" s="2">
        <f t="shared" si="28"/>
        <v>616</v>
      </c>
      <c r="H20" s="2">
        <f t="shared" si="28"/>
        <v>326</v>
      </c>
      <c r="I20" s="2">
        <f t="shared" si="28"/>
        <v>306</v>
      </c>
      <c r="J20" s="2">
        <f t="shared" si="28"/>
        <v>0</v>
      </c>
      <c r="K20" s="2">
        <f t="shared" si="28"/>
        <v>0</v>
      </c>
      <c r="L20" s="2">
        <f t="shared" si="28"/>
        <v>0</v>
      </c>
      <c r="M20" s="2">
        <f t="shared" si="28"/>
        <v>0</v>
      </c>
      <c r="N20" s="2">
        <f t="shared" si="28"/>
        <v>0</v>
      </c>
      <c r="O20" s="2">
        <f t="shared" si="28"/>
        <v>0</v>
      </c>
      <c r="P20" s="2">
        <f t="shared" si="28"/>
        <v>0</v>
      </c>
      <c r="Q20" s="2">
        <f t="shared" si="28"/>
        <v>0</v>
      </c>
      <c r="R20" s="2">
        <f t="shared" si="28"/>
        <v>2474</v>
      </c>
      <c r="S20" s="2">
        <f t="shared" si="28"/>
        <v>1248</v>
      </c>
      <c r="T20" s="2">
        <f t="shared" si="28"/>
        <v>3722</v>
      </c>
      <c r="U20" s="5">
        <f>AVERAGE(U13:U19)</f>
        <v>74.954265142857139</v>
      </c>
      <c r="V20" s="8">
        <f>SUM(V13:V19)</f>
        <v>187677.24373599995</v>
      </c>
      <c r="W20" s="8">
        <f>SUM(W13:W19)</f>
        <v>93059.446844999999</v>
      </c>
      <c r="X20" s="8">
        <f>SUM(X13:X19)</f>
        <v>280736.69058099994</v>
      </c>
      <c r="Y20" s="5" t="e">
        <f>AVERAGEA(Y13:Y19)</f>
        <v>#DIV/0!</v>
      </c>
      <c r="Z20" s="5" t="e">
        <f>AVERAGEA(Z13:Z19)</f>
        <v>#DIV/0!</v>
      </c>
      <c r="AA20" s="17"/>
    </row>
    <row r="21" spans="1:27" ht="29.25" customHeight="1" x14ac:dyDescent="0.25">
      <c r="A21" s="30" t="s">
        <v>14</v>
      </c>
      <c r="B21" s="21" t="s">
        <v>5</v>
      </c>
      <c r="C21" s="1">
        <f>800-52</f>
        <v>748</v>
      </c>
      <c r="D21" s="1">
        <f t="shared" ref="D21:D26" si="29">C21</f>
        <v>748</v>
      </c>
      <c r="E21" s="1">
        <v>748</v>
      </c>
      <c r="F21" s="1">
        <v>748</v>
      </c>
      <c r="G21" s="1">
        <f>266-30</f>
        <v>236</v>
      </c>
      <c r="H21" s="1">
        <f>98-3</f>
        <v>95</v>
      </c>
      <c r="I21" s="1">
        <f>72-2</f>
        <v>70</v>
      </c>
      <c r="J21" s="1"/>
      <c r="K21" s="1"/>
      <c r="L21" s="1"/>
      <c r="M21" s="1"/>
      <c r="N21" s="1"/>
      <c r="O21" s="1"/>
      <c r="P21" s="1"/>
      <c r="Q21" s="1"/>
      <c r="R21" s="1">
        <f t="shared" ref="R21:R26" si="30">E21+F21</f>
        <v>1496</v>
      </c>
      <c r="S21" s="1">
        <f>SUM(E21:Q21)-R21</f>
        <v>401</v>
      </c>
      <c r="T21" s="1">
        <f>R21+S21</f>
        <v>1897</v>
      </c>
      <c r="U21" s="11">
        <v>76.066989000000007</v>
      </c>
      <c r="V21" s="7">
        <f>R21*U21</f>
        <v>113796.21554400001</v>
      </c>
      <c r="W21" s="7">
        <f>S21*U21</f>
        <v>30502.862589000004</v>
      </c>
      <c r="X21" s="7">
        <f>T21*U21</f>
        <v>144299.078133</v>
      </c>
      <c r="Y21" s="11">
        <f>8+Z21</f>
        <v>10.536096256684491</v>
      </c>
      <c r="Z21" s="11">
        <f>T21/C21</f>
        <v>2.536096256684492</v>
      </c>
      <c r="AA21" s="15"/>
    </row>
    <row r="22" spans="1:27" ht="29.25" customHeight="1" x14ac:dyDescent="0.25">
      <c r="A22" s="31"/>
      <c r="B22" s="21" t="s">
        <v>6</v>
      </c>
      <c r="C22" s="1">
        <v>194</v>
      </c>
      <c r="D22" s="1">
        <f t="shared" si="29"/>
        <v>194</v>
      </c>
      <c r="E22" s="1">
        <v>194</v>
      </c>
      <c r="F22" s="1">
        <v>194</v>
      </c>
      <c r="G22" s="1">
        <v>194</v>
      </c>
      <c r="H22" s="1">
        <v>194</v>
      </c>
      <c r="I22" s="1">
        <v>194</v>
      </c>
      <c r="J22" s="1"/>
      <c r="K22" s="1"/>
      <c r="L22" s="1"/>
      <c r="M22" s="1"/>
      <c r="N22" s="1"/>
      <c r="O22" s="1"/>
      <c r="P22" s="1"/>
      <c r="Q22" s="1"/>
      <c r="R22" s="1">
        <f t="shared" si="30"/>
        <v>388</v>
      </c>
      <c r="S22" s="1">
        <f t="shared" si="2"/>
        <v>582</v>
      </c>
      <c r="T22" s="1">
        <f t="shared" ref="T22:T26" si="31">R22+S22</f>
        <v>970</v>
      </c>
      <c r="U22" s="1">
        <v>73.14</v>
      </c>
      <c r="V22" s="7">
        <f t="shared" ref="V22:V26" si="32">R22*U22</f>
        <v>28378.32</v>
      </c>
      <c r="W22" s="7">
        <f t="shared" ref="W22:W26" si="33">S22*U22</f>
        <v>42567.48</v>
      </c>
      <c r="X22" s="7">
        <f t="shared" ref="X22:X26" si="34">T22*U22</f>
        <v>70945.8</v>
      </c>
      <c r="Y22" s="11">
        <f t="shared" ref="Y22:Y26" si="35">8+Z22</f>
        <v>13</v>
      </c>
      <c r="Z22" s="11">
        <f t="shared" ref="Z22:Z26" si="36">T22/C22</f>
        <v>5</v>
      </c>
      <c r="AA22" s="15"/>
    </row>
    <row r="23" spans="1:27" ht="29.25" customHeight="1" x14ac:dyDescent="0.25">
      <c r="A23" s="31"/>
      <c r="B23" s="21" t="s">
        <v>7</v>
      </c>
      <c r="C23" s="1">
        <f>52+63+8</f>
        <v>123</v>
      </c>
      <c r="D23" s="1">
        <f t="shared" si="29"/>
        <v>123</v>
      </c>
      <c r="E23" s="1">
        <v>123</v>
      </c>
      <c r="F23" s="1">
        <v>123</v>
      </c>
      <c r="G23" s="1">
        <v>95</v>
      </c>
      <c r="H23" s="1">
        <v>68</v>
      </c>
      <c r="I23" s="1">
        <v>67</v>
      </c>
      <c r="J23" s="1"/>
      <c r="K23" s="1"/>
      <c r="L23" s="1"/>
      <c r="M23" s="1"/>
      <c r="N23" s="1"/>
      <c r="O23" s="1"/>
      <c r="P23" s="1"/>
      <c r="Q23" s="1"/>
      <c r="R23" s="1">
        <f t="shared" si="30"/>
        <v>246</v>
      </c>
      <c r="S23" s="1">
        <f t="shared" si="2"/>
        <v>230</v>
      </c>
      <c r="T23" s="1">
        <f>R23+S23</f>
        <v>476</v>
      </c>
      <c r="U23" s="1">
        <v>77.73</v>
      </c>
      <c r="V23" s="7">
        <f t="shared" si="32"/>
        <v>19121.580000000002</v>
      </c>
      <c r="W23" s="7">
        <f t="shared" si="33"/>
        <v>17877.900000000001</v>
      </c>
      <c r="X23" s="7">
        <f t="shared" si="34"/>
        <v>36999.480000000003</v>
      </c>
      <c r="Y23" s="11">
        <f t="shared" si="35"/>
        <v>11.869918699186993</v>
      </c>
      <c r="Z23" s="11">
        <f t="shared" si="36"/>
        <v>3.8699186991869921</v>
      </c>
      <c r="AA23" s="15" t="s">
        <v>31</v>
      </c>
    </row>
    <row r="24" spans="1:27" ht="29.25" customHeight="1" x14ac:dyDescent="0.25">
      <c r="A24" s="31"/>
      <c r="B24" s="21" t="s">
        <v>8</v>
      </c>
      <c r="C24" s="1">
        <v>38</v>
      </c>
      <c r="D24" s="1">
        <f>C24</f>
        <v>38</v>
      </c>
      <c r="E24" s="1">
        <v>38</v>
      </c>
      <c r="F24" s="1">
        <v>38</v>
      </c>
      <c r="G24" s="1">
        <v>15</v>
      </c>
      <c r="H24" s="1">
        <v>15</v>
      </c>
      <c r="I24" s="1">
        <v>15</v>
      </c>
      <c r="J24" s="1"/>
      <c r="K24" s="1"/>
      <c r="L24" s="1"/>
      <c r="M24" s="1"/>
      <c r="N24" s="1"/>
      <c r="O24" s="1"/>
      <c r="P24" s="1"/>
      <c r="Q24" s="1"/>
      <c r="R24" s="1">
        <f t="shared" si="30"/>
        <v>76</v>
      </c>
      <c r="S24" s="1">
        <f t="shared" si="2"/>
        <v>45</v>
      </c>
      <c r="T24" s="1">
        <f>R24+S24</f>
        <v>121</v>
      </c>
      <c r="U24" s="11">
        <v>76.497466000000003</v>
      </c>
      <c r="V24" s="7">
        <f>R24*U24</f>
        <v>5813.8074160000006</v>
      </c>
      <c r="W24" s="7">
        <f>S24*U24</f>
        <v>3442.3859700000003</v>
      </c>
      <c r="X24" s="7">
        <f>T24*U24</f>
        <v>9256.1933860000008</v>
      </c>
      <c r="Y24" s="11">
        <f>8+Z24</f>
        <v>11.184210526315789</v>
      </c>
      <c r="Z24" s="11">
        <f>T24/C24</f>
        <v>3.1842105263157894</v>
      </c>
      <c r="AA24" s="23"/>
    </row>
    <row r="25" spans="1:27" ht="29.25" customHeight="1" x14ac:dyDescent="0.25">
      <c r="A25" s="31"/>
      <c r="B25" s="21" t="s">
        <v>9</v>
      </c>
      <c r="C25" s="1">
        <v>7</v>
      </c>
      <c r="D25" s="1">
        <f>C25</f>
        <v>7</v>
      </c>
      <c r="E25" s="1">
        <v>7</v>
      </c>
      <c r="F25" s="1">
        <v>7</v>
      </c>
      <c r="G25" s="1">
        <v>7</v>
      </c>
      <c r="H25" s="1">
        <v>7</v>
      </c>
      <c r="I25" s="1">
        <v>7</v>
      </c>
      <c r="J25" s="1"/>
      <c r="K25" s="1"/>
      <c r="L25" s="1"/>
      <c r="M25" s="1"/>
      <c r="N25" s="1"/>
      <c r="O25" s="1"/>
      <c r="P25" s="1"/>
      <c r="Q25" s="1"/>
      <c r="R25" s="1">
        <f t="shared" si="30"/>
        <v>14</v>
      </c>
      <c r="S25" s="1">
        <f t="shared" si="2"/>
        <v>21</v>
      </c>
      <c r="T25" s="1">
        <f t="shared" si="31"/>
        <v>35</v>
      </c>
      <c r="U25" s="1">
        <v>75.41</v>
      </c>
      <c r="V25" s="7">
        <f t="shared" si="32"/>
        <v>1055.74</v>
      </c>
      <c r="W25" s="7">
        <f t="shared" si="33"/>
        <v>1583.61</v>
      </c>
      <c r="X25" s="7">
        <f t="shared" si="34"/>
        <v>2639.35</v>
      </c>
      <c r="Y25" s="11">
        <f t="shared" si="35"/>
        <v>13</v>
      </c>
      <c r="Z25" s="11">
        <f t="shared" si="36"/>
        <v>5</v>
      </c>
      <c r="AA25" s="15" t="s">
        <v>31</v>
      </c>
    </row>
    <row r="26" spans="1:27" ht="29.25" customHeight="1" x14ac:dyDescent="0.25">
      <c r="A26" s="32"/>
      <c r="B26" s="21" t="s">
        <v>10</v>
      </c>
      <c r="C26" s="1"/>
      <c r="D26" s="1">
        <f t="shared" si="29"/>
        <v>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>
        <f t="shared" si="30"/>
        <v>0</v>
      </c>
      <c r="S26" s="1">
        <f t="shared" si="2"/>
        <v>0</v>
      </c>
      <c r="T26" s="1">
        <f t="shared" si="31"/>
        <v>0</v>
      </c>
      <c r="U26" s="1">
        <v>75.319999999999993</v>
      </c>
      <c r="V26" s="7">
        <f t="shared" si="32"/>
        <v>0</v>
      </c>
      <c r="W26" s="7">
        <f t="shared" si="33"/>
        <v>0</v>
      </c>
      <c r="X26" s="7">
        <f t="shared" si="34"/>
        <v>0</v>
      </c>
      <c r="Y26" s="11" t="e">
        <f t="shared" si="35"/>
        <v>#DIV/0!</v>
      </c>
      <c r="Z26" s="11" t="e">
        <f t="shared" si="36"/>
        <v>#DIV/0!</v>
      </c>
      <c r="AA26" s="15"/>
    </row>
    <row r="27" spans="1:27" ht="29.25" customHeight="1" x14ac:dyDescent="0.25">
      <c r="A27" s="28" t="s">
        <v>11</v>
      </c>
      <c r="B27" s="29"/>
      <c r="C27" s="2">
        <f t="shared" ref="C27:T27" si="37">SUM(C21:C26)</f>
        <v>1110</v>
      </c>
      <c r="D27" s="2">
        <f t="shared" si="37"/>
        <v>1110</v>
      </c>
      <c r="E27" s="2">
        <f t="shared" si="37"/>
        <v>1110</v>
      </c>
      <c r="F27" s="2">
        <f t="shared" si="37"/>
        <v>1110</v>
      </c>
      <c r="G27" s="2">
        <f t="shared" si="37"/>
        <v>547</v>
      </c>
      <c r="H27" s="2">
        <f t="shared" si="37"/>
        <v>379</v>
      </c>
      <c r="I27" s="2">
        <f t="shared" si="37"/>
        <v>353</v>
      </c>
      <c r="J27" s="2">
        <f t="shared" si="37"/>
        <v>0</v>
      </c>
      <c r="K27" s="2">
        <f t="shared" si="37"/>
        <v>0</v>
      </c>
      <c r="L27" s="2">
        <f t="shared" si="37"/>
        <v>0</v>
      </c>
      <c r="M27" s="2">
        <f t="shared" si="37"/>
        <v>0</v>
      </c>
      <c r="N27" s="2">
        <f t="shared" si="37"/>
        <v>0</v>
      </c>
      <c r="O27" s="2">
        <f t="shared" si="37"/>
        <v>0</v>
      </c>
      <c r="P27" s="2">
        <f t="shared" si="37"/>
        <v>0</v>
      </c>
      <c r="Q27" s="2">
        <f t="shared" si="37"/>
        <v>0</v>
      </c>
      <c r="R27" s="2">
        <f t="shared" si="37"/>
        <v>2220</v>
      </c>
      <c r="S27" s="2">
        <f t="shared" si="37"/>
        <v>1279</v>
      </c>
      <c r="T27" s="2">
        <f t="shared" si="37"/>
        <v>3499</v>
      </c>
      <c r="U27" s="5">
        <f>AVERAGE(U21:U26)</f>
        <v>75.694075833333343</v>
      </c>
      <c r="V27" s="8">
        <f>SUM(V21:V26)</f>
        <v>168165.66295999999</v>
      </c>
      <c r="W27" s="8">
        <f>SUM(W21:W26)</f>
        <v>95974.238559000005</v>
      </c>
      <c r="X27" s="8">
        <f>SUM(X21:X26)</f>
        <v>264139.90151900001</v>
      </c>
      <c r="Y27" s="5" t="e">
        <f>AVERAGE(Y21:Y26)</f>
        <v>#DIV/0!</v>
      </c>
      <c r="Z27" s="5" t="e">
        <f>AVERAGE(Z21:Z26)</f>
        <v>#DIV/0!</v>
      </c>
      <c r="AA27" s="17"/>
    </row>
    <row r="28" spans="1:27" ht="29.25" customHeight="1" x14ac:dyDescent="0.25">
      <c r="A28" s="30" t="s">
        <v>15</v>
      </c>
      <c r="B28" s="21" t="s">
        <v>5</v>
      </c>
      <c r="C28" s="1">
        <f>633-34</f>
        <v>599</v>
      </c>
      <c r="D28" s="1">
        <f t="shared" ref="D28:D46" si="38">C28</f>
        <v>599</v>
      </c>
      <c r="E28" s="1">
        <f>599-38-38-39-39-39-39+4+6+39+7+4+4</f>
        <v>431</v>
      </c>
      <c r="F28" s="1">
        <f>599-38-38-39-39-39-39+3+4+39+7+3+4</f>
        <v>427</v>
      </c>
      <c r="G28" s="1">
        <f>121-13</f>
        <v>108</v>
      </c>
      <c r="H28" s="1">
        <f>40-5</f>
        <v>35</v>
      </c>
      <c r="I28" s="1">
        <v>20</v>
      </c>
      <c r="J28" s="1"/>
      <c r="K28" s="1"/>
      <c r="L28" s="1"/>
      <c r="M28" s="1"/>
      <c r="N28" s="1"/>
      <c r="O28" s="1"/>
      <c r="P28" s="1"/>
      <c r="Q28" s="1"/>
      <c r="R28" s="1">
        <f t="shared" ref="R28:R33" si="39">E28+F28</f>
        <v>858</v>
      </c>
      <c r="S28" s="1">
        <f t="shared" si="2"/>
        <v>163</v>
      </c>
      <c r="T28" s="1">
        <f>R28+S28</f>
        <v>1021</v>
      </c>
      <c r="U28" s="11">
        <v>74.848816999999997</v>
      </c>
      <c r="V28" s="7">
        <f>R28*U28</f>
        <v>64220.284985999999</v>
      </c>
      <c r="W28" s="7">
        <f>S28*U28</f>
        <v>12200.357171</v>
      </c>
      <c r="X28" s="7">
        <f>T28*U28</f>
        <v>76420.642156999995</v>
      </c>
      <c r="Y28" s="11">
        <f>8+Z28</f>
        <v>9.704507512520868</v>
      </c>
      <c r="Z28" s="11">
        <f>T28/C28</f>
        <v>1.7045075125208682</v>
      </c>
      <c r="AA28" s="15"/>
    </row>
    <row r="29" spans="1:27" ht="29.25" customHeight="1" x14ac:dyDescent="0.25">
      <c r="A29" s="31"/>
      <c r="B29" s="21" t="s">
        <v>6</v>
      </c>
      <c r="C29" s="1">
        <v>201</v>
      </c>
      <c r="D29" s="1">
        <f t="shared" si="38"/>
        <v>201</v>
      </c>
      <c r="E29" s="1">
        <v>201</v>
      </c>
      <c r="F29" s="1">
        <v>201</v>
      </c>
      <c r="G29" s="1">
        <v>201</v>
      </c>
      <c r="H29" s="1">
        <v>201</v>
      </c>
      <c r="I29" s="1">
        <v>201</v>
      </c>
      <c r="J29" s="1"/>
      <c r="K29" s="1"/>
      <c r="L29" s="1"/>
      <c r="M29" s="1"/>
      <c r="N29" s="1"/>
      <c r="O29" s="1"/>
      <c r="P29" s="1"/>
      <c r="Q29" s="1"/>
      <c r="R29" s="1">
        <f t="shared" si="39"/>
        <v>402</v>
      </c>
      <c r="S29" s="1">
        <f>SUM(E29:Q29)-R29</f>
        <v>603</v>
      </c>
      <c r="T29" s="1">
        <f>R29+S29</f>
        <v>1005</v>
      </c>
      <c r="U29" s="1">
        <v>72.27</v>
      </c>
      <c r="V29" s="7">
        <f t="shared" ref="V29:V33" si="40">R29*U29</f>
        <v>29052.539999999997</v>
      </c>
      <c r="W29" s="7">
        <f t="shared" ref="W29:W33" si="41">S29*U29</f>
        <v>43578.81</v>
      </c>
      <c r="X29" s="7">
        <f t="shared" ref="X29:X33" si="42">T29*U29</f>
        <v>72631.349999999991</v>
      </c>
      <c r="Y29" s="11">
        <f t="shared" ref="Y29:Y33" si="43">8+Z29</f>
        <v>13</v>
      </c>
      <c r="Z29" s="11">
        <f t="shared" ref="Z29:Z33" si="44">T29/C29</f>
        <v>5</v>
      </c>
      <c r="AA29" s="15"/>
    </row>
    <row r="30" spans="1:27" ht="29.25" customHeight="1" x14ac:dyDescent="0.25">
      <c r="A30" s="31"/>
      <c r="B30" s="21" t="s">
        <v>7</v>
      </c>
      <c r="C30" s="1">
        <f>34+79+8</f>
        <v>121</v>
      </c>
      <c r="D30" s="1">
        <f t="shared" si="38"/>
        <v>121</v>
      </c>
      <c r="E30" s="1">
        <v>121</v>
      </c>
      <c r="F30" s="1">
        <v>121</v>
      </c>
      <c r="G30" s="1">
        <v>93</v>
      </c>
      <c r="H30" s="1">
        <v>85</v>
      </c>
      <c r="I30" s="1">
        <v>80</v>
      </c>
      <c r="J30" s="1"/>
      <c r="K30" s="1"/>
      <c r="L30" s="1"/>
      <c r="M30" s="1"/>
      <c r="N30" s="1"/>
      <c r="O30" s="1"/>
      <c r="P30" s="1"/>
      <c r="Q30" s="1"/>
      <c r="R30" s="1">
        <f t="shared" si="39"/>
        <v>242</v>
      </c>
      <c r="S30" s="1">
        <f t="shared" si="2"/>
        <v>258</v>
      </c>
      <c r="T30" s="1">
        <f t="shared" ref="T30:T33" si="45">R30+S30</f>
        <v>500</v>
      </c>
      <c r="U30" s="1">
        <v>75.540000000000006</v>
      </c>
      <c r="V30" s="7">
        <f t="shared" si="40"/>
        <v>18280.68</v>
      </c>
      <c r="W30" s="7">
        <f t="shared" si="41"/>
        <v>19489.320000000003</v>
      </c>
      <c r="X30" s="7">
        <f t="shared" si="42"/>
        <v>37770</v>
      </c>
      <c r="Y30" s="11">
        <f t="shared" si="43"/>
        <v>12.132231404958677</v>
      </c>
      <c r="Z30" s="11">
        <f t="shared" si="44"/>
        <v>4.1322314049586772</v>
      </c>
      <c r="AA30" s="15" t="s">
        <v>31</v>
      </c>
    </row>
    <row r="31" spans="1:27" ht="29.25" customHeight="1" x14ac:dyDescent="0.25">
      <c r="A31" s="31"/>
      <c r="B31" s="21" t="s">
        <v>8</v>
      </c>
      <c r="C31" s="1">
        <v>38</v>
      </c>
      <c r="D31" s="1">
        <f t="shared" si="38"/>
        <v>38</v>
      </c>
      <c r="E31" s="1">
        <v>38</v>
      </c>
      <c r="F31" s="1">
        <v>38</v>
      </c>
      <c r="G31" s="1">
        <v>15</v>
      </c>
      <c r="H31" s="1">
        <v>15</v>
      </c>
      <c r="I31" s="1">
        <v>15</v>
      </c>
      <c r="J31" s="1"/>
      <c r="K31" s="1"/>
      <c r="L31" s="1"/>
      <c r="M31" s="1"/>
      <c r="N31" s="1"/>
      <c r="O31" s="1"/>
      <c r="P31" s="1"/>
      <c r="Q31" s="1"/>
      <c r="R31" s="1">
        <f t="shared" si="39"/>
        <v>76</v>
      </c>
      <c r="S31" s="1">
        <f t="shared" si="2"/>
        <v>45</v>
      </c>
      <c r="T31" s="1">
        <f>R31+S31</f>
        <v>121</v>
      </c>
      <c r="U31" s="11">
        <v>76.283850999999999</v>
      </c>
      <c r="V31" s="7">
        <f>R31*U31</f>
        <v>5797.5726759999998</v>
      </c>
      <c r="W31" s="7">
        <f>S31*U31</f>
        <v>3432.773295</v>
      </c>
      <c r="X31" s="7">
        <f>T31*U31</f>
        <v>9230.3459710000006</v>
      </c>
      <c r="Y31" s="11">
        <f>8+Z31</f>
        <v>11.184210526315789</v>
      </c>
      <c r="Z31" s="11">
        <f>T31/C31</f>
        <v>3.1842105263157894</v>
      </c>
      <c r="AA31" s="15"/>
    </row>
    <row r="32" spans="1:27" ht="29.25" customHeight="1" x14ac:dyDescent="0.25">
      <c r="A32" s="31"/>
      <c r="B32" s="21" t="s">
        <v>9</v>
      </c>
      <c r="C32" s="1">
        <v>7</v>
      </c>
      <c r="D32" s="1">
        <f t="shared" si="38"/>
        <v>7</v>
      </c>
      <c r="E32" s="1">
        <v>7</v>
      </c>
      <c r="F32" s="1">
        <v>7</v>
      </c>
      <c r="G32" s="1">
        <v>7</v>
      </c>
      <c r="H32" s="1">
        <v>7</v>
      </c>
      <c r="I32" s="1">
        <v>7</v>
      </c>
      <c r="J32" s="1"/>
      <c r="K32" s="1"/>
      <c r="L32" s="1"/>
      <c r="M32" s="1"/>
      <c r="N32" s="1"/>
      <c r="O32" s="1"/>
      <c r="P32" s="1"/>
      <c r="Q32" s="1"/>
      <c r="R32" s="1">
        <f t="shared" si="39"/>
        <v>14</v>
      </c>
      <c r="S32" s="1">
        <f t="shared" si="2"/>
        <v>21</v>
      </c>
      <c r="T32" s="1">
        <f t="shared" si="45"/>
        <v>35</v>
      </c>
      <c r="U32" s="1">
        <v>75.41</v>
      </c>
      <c r="V32" s="7">
        <f t="shared" si="40"/>
        <v>1055.74</v>
      </c>
      <c r="W32" s="7">
        <f t="shared" si="41"/>
        <v>1583.61</v>
      </c>
      <c r="X32" s="7">
        <f t="shared" si="42"/>
        <v>2639.35</v>
      </c>
      <c r="Y32" s="11">
        <f t="shared" si="43"/>
        <v>13</v>
      </c>
      <c r="Z32" s="11">
        <f t="shared" si="44"/>
        <v>5</v>
      </c>
      <c r="AA32" s="15" t="s">
        <v>31</v>
      </c>
    </row>
    <row r="33" spans="1:27" ht="29.25" customHeight="1" x14ac:dyDescent="0.25">
      <c r="A33" s="32"/>
      <c r="B33" s="21" t="s">
        <v>10</v>
      </c>
      <c r="C33" s="1"/>
      <c r="D33" s="1">
        <f t="shared" si="38"/>
        <v>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>
        <f t="shared" si="39"/>
        <v>0</v>
      </c>
      <c r="S33" s="1">
        <f t="shared" si="2"/>
        <v>0</v>
      </c>
      <c r="T33" s="1">
        <f t="shared" si="45"/>
        <v>0</v>
      </c>
      <c r="U33" s="1">
        <v>75.319999999999993</v>
      </c>
      <c r="V33" s="7">
        <f t="shared" si="40"/>
        <v>0</v>
      </c>
      <c r="W33" s="7">
        <f t="shared" si="41"/>
        <v>0</v>
      </c>
      <c r="X33" s="7">
        <f t="shared" si="42"/>
        <v>0</v>
      </c>
      <c r="Y33" s="11" t="e">
        <f t="shared" si="43"/>
        <v>#DIV/0!</v>
      </c>
      <c r="Z33" s="11" t="e">
        <f t="shared" si="44"/>
        <v>#DIV/0!</v>
      </c>
      <c r="AA33" s="15"/>
    </row>
    <row r="34" spans="1:27" ht="29.25" customHeight="1" x14ac:dyDescent="0.25">
      <c r="A34" s="28" t="s">
        <v>11</v>
      </c>
      <c r="B34" s="29"/>
      <c r="C34" s="2">
        <f>SUM(C28:C33)</f>
        <v>966</v>
      </c>
      <c r="D34" s="2">
        <f>SUM(D28:D33)</f>
        <v>966</v>
      </c>
      <c r="E34" s="2">
        <f t="shared" ref="E34:T34" si="46">SUM(E28:E33)</f>
        <v>798</v>
      </c>
      <c r="F34" s="2">
        <f t="shared" si="46"/>
        <v>794</v>
      </c>
      <c r="G34" s="2">
        <f t="shared" si="46"/>
        <v>424</v>
      </c>
      <c r="H34" s="2">
        <f t="shared" si="46"/>
        <v>343</v>
      </c>
      <c r="I34" s="2">
        <f t="shared" si="46"/>
        <v>323</v>
      </c>
      <c r="J34" s="2">
        <f t="shared" si="46"/>
        <v>0</v>
      </c>
      <c r="K34" s="2">
        <f t="shared" si="46"/>
        <v>0</v>
      </c>
      <c r="L34" s="2">
        <f t="shared" si="46"/>
        <v>0</v>
      </c>
      <c r="M34" s="2">
        <f t="shared" si="46"/>
        <v>0</v>
      </c>
      <c r="N34" s="2">
        <f t="shared" si="46"/>
        <v>0</v>
      </c>
      <c r="O34" s="2">
        <f t="shared" si="46"/>
        <v>0</v>
      </c>
      <c r="P34" s="2">
        <f t="shared" si="46"/>
        <v>0</v>
      </c>
      <c r="Q34" s="2">
        <f t="shared" si="46"/>
        <v>0</v>
      </c>
      <c r="R34" s="2">
        <f t="shared" si="46"/>
        <v>1592</v>
      </c>
      <c r="S34" s="2">
        <f t="shared" si="46"/>
        <v>1090</v>
      </c>
      <c r="T34" s="2">
        <f t="shared" si="46"/>
        <v>2682</v>
      </c>
      <c r="U34" s="20">
        <f>AVERAGE(U28:U33)</f>
        <v>74.94544466666666</v>
      </c>
      <c r="V34" s="8">
        <f>SUM(V28:V33)</f>
        <v>118406.81766199999</v>
      </c>
      <c r="W34" s="8">
        <f>SUM(W28:W33)</f>
        <v>80284.870466000008</v>
      </c>
      <c r="X34" s="8">
        <f>SUM(X28:X33)</f>
        <v>198691.68812800001</v>
      </c>
      <c r="Y34" s="5" t="e">
        <f>AVERAGE(Y28:Y33)</f>
        <v>#DIV/0!</v>
      </c>
      <c r="Z34" s="5" t="e">
        <f>AVERAGE(Z28:Z33)</f>
        <v>#DIV/0!</v>
      </c>
      <c r="AA34" s="17"/>
    </row>
    <row r="35" spans="1:27" ht="29.25" customHeight="1" x14ac:dyDescent="0.25">
      <c r="A35" s="30" t="s">
        <v>16</v>
      </c>
      <c r="B35" s="21" t="s">
        <v>5</v>
      </c>
      <c r="C35" s="1">
        <f>694-38</f>
        <v>656</v>
      </c>
      <c r="D35" s="1">
        <f t="shared" si="38"/>
        <v>656</v>
      </c>
      <c r="E35" s="1">
        <v>656</v>
      </c>
      <c r="F35" s="1">
        <v>656</v>
      </c>
      <c r="G35" s="1">
        <f>180-22</f>
        <v>158</v>
      </c>
      <c r="H35" s="1">
        <f>120-3</f>
        <v>117</v>
      </c>
      <c r="I35" s="1">
        <f>36-2</f>
        <v>34</v>
      </c>
      <c r="J35" s="1"/>
      <c r="K35" s="1"/>
      <c r="L35" s="1"/>
      <c r="M35" s="1"/>
      <c r="N35" s="1"/>
      <c r="O35" s="1"/>
      <c r="P35" s="1"/>
      <c r="Q35" s="1"/>
      <c r="R35" s="1">
        <f t="shared" ref="R35:R41" si="47">E35+F35</f>
        <v>1312</v>
      </c>
      <c r="S35" s="1">
        <f>SUM(E35:Q35)-R35</f>
        <v>309</v>
      </c>
      <c r="T35" s="1">
        <f>R35+S35</f>
        <v>1621</v>
      </c>
      <c r="U35" s="11">
        <v>77.724827000000005</v>
      </c>
      <c r="V35" s="7">
        <f>R35*U35</f>
        <v>101974.97302400001</v>
      </c>
      <c r="W35" s="7">
        <f>S35*U35</f>
        <v>24016.971543</v>
      </c>
      <c r="X35" s="7">
        <f>T35*U35</f>
        <v>125991.94456700001</v>
      </c>
      <c r="Y35" s="11">
        <f>8+Z35</f>
        <v>10.471036585365853</v>
      </c>
      <c r="Z35" s="11">
        <f>T35/C35</f>
        <v>2.4710365853658538</v>
      </c>
      <c r="AA35" s="15"/>
    </row>
    <row r="36" spans="1:27" ht="29.25" customHeight="1" x14ac:dyDescent="0.25">
      <c r="A36" s="31"/>
      <c r="B36" s="21" t="s">
        <v>6</v>
      </c>
      <c r="C36" s="1">
        <v>201</v>
      </c>
      <c r="D36" s="1">
        <f t="shared" si="38"/>
        <v>201</v>
      </c>
      <c r="E36" s="1">
        <v>201</v>
      </c>
      <c r="F36" s="1">
        <v>201</v>
      </c>
      <c r="G36" s="1">
        <v>201</v>
      </c>
      <c r="H36" s="1">
        <v>201</v>
      </c>
      <c r="I36" s="1">
        <v>201</v>
      </c>
      <c r="J36" s="1"/>
      <c r="K36" s="1"/>
      <c r="L36" s="1"/>
      <c r="M36" s="1"/>
      <c r="N36" s="1"/>
      <c r="O36" s="1"/>
      <c r="P36" s="1"/>
      <c r="Q36" s="1"/>
      <c r="R36" s="1">
        <f t="shared" si="47"/>
        <v>402</v>
      </c>
      <c r="S36" s="1">
        <f t="shared" si="2"/>
        <v>603</v>
      </c>
      <c r="T36" s="1">
        <f>R36+S36</f>
        <v>1005</v>
      </c>
      <c r="U36" s="1">
        <v>72.55</v>
      </c>
      <c r="V36" s="7">
        <f t="shared" ref="V36:V41" si="48">R36*U36</f>
        <v>29165.1</v>
      </c>
      <c r="W36" s="7">
        <f t="shared" ref="W36:W41" si="49">S36*U36</f>
        <v>43747.65</v>
      </c>
      <c r="X36" s="7">
        <f t="shared" ref="X36:X41" si="50">T36*U36</f>
        <v>72912.75</v>
      </c>
      <c r="Y36" s="11">
        <f t="shared" ref="Y36:Y41" si="51">8+Z36</f>
        <v>13</v>
      </c>
      <c r="Z36" s="11">
        <f t="shared" ref="Z36:Z41" si="52">T36/C36</f>
        <v>5</v>
      </c>
      <c r="AA36" s="15"/>
    </row>
    <row r="37" spans="1:27" ht="29.25" customHeight="1" x14ac:dyDescent="0.25">
      <c r="A37" s="31"/>
      <c r="B37" s="21" t="s">
        <v>7</v>
      </c>
      <c r="C37" s="1">
        <f>38+66+7</f>
        <v>111</v>
      </c>
      <c r="D37" s="1">
        <f t="shared" si="38"/>
        <v>111</v>
      </c>
      <c r="E37" s="1">
        <v>111</v>
      </c>
      <c r="F37" s="1">
        <v>111</v>
      </c>
      <c r="G37" s="1">
        <v>89</v>
      </c>
      <c r="H37" s="1">
        <v>70</v>
      </c>
      <c r="I37" s="1">
        <v>69</v>
      </c>
      <c r="J37" s="1"/>
      <c r="K37" s="1"/>
      <c r="L37" s="1"/>
      <c r="M37" s="1"/>
      <c r="N37" s="1"/>
      <c r="O37" s="1"/>
      <c r="P37" s="1"/>
      <c r="Q37" s="1"/>
      <c r="R37" s="1">
        <f t="shared" si="47"/>
        <v>222</v>
      </c>
      <c r="S37" s="1">
        <f t="shared" si="2"/>
        <v>228</v>
      </c>
      <c r="T37" s="1">
        <f t="shared" ref="T37:T41" si="53">R37+S37</f>
        <v>450</v>
      </c>
      <c r="U37" s="1">
        <v>77.89</v>
      </c>
      <c r="V37" s="7">
        <f t="shared" si="48"/>
        <v>17291.580000000002</v>
      </c>
      <c r="W37" s="7">
        <f t="shared" si="49"/>
        <v>17758.920000000002</v>
      </c>
      <c r="X37" s="7">
        <f t="shared" si="50"/>
        <v>35050.5</v>
      </c>
      <c r="Y37" s="11">
        <f t="shared" si="51"/>
        <v>12.054054054054054</v>
      </c>
      <c r="Z37" s="11">
        <f t="shared" si="52"/>
        <v>4.0540540540540544</v>
      </c>
      <c r="AA37" s="15" t="s">
        <v>31</v>
      </c>
    </row>
    <row r="38" spans="1:27" ht="29.25" customHeight="1" x14ac:dyDescent="0.25">
      <c r="A38" s="31"/>
      <c r="B38" s="21" t="s">
        <v>8</v>
      </c>
      <c r="C38" s="1">
        <v>38</v>
      </c>
      <c r="D38" s="1">
        <f t="shared" si="38"/>
        <v>38</v>
      </c>
      <c r="E38" s="1">
        <v>38</v>
      </c>
      <c r="F38" s="1">
        <v>38</v>
      </c>
      <c r="G38" s="1">
        <v>15</v>
      </c>
      <c r="H38" s="1">
        <v>15</v>
      </c>
      <c r="I38" s="1">
        <v>15</v>
      </c>
      <c r="J38" s="1"/>
      <c r="K38" s="1"/>
      <c r="L38" s="1"/>
      <c r="M38" s="1"/>
      <c r="N38" s="1"/>
      <c r="O38" s="1"/>
      <c r="P38" s="1"/>
      <c r="Q38" s="1"/>
      <c r="R38" s="1">
        <f t="shared" si="47"/>
        <v>76</v>
      </c>
      <c r="S38" s="1">
        <f t="shared" si="2"/>
        <v>45</v>
      </c>
      <c r="T38" s="1">
        <f>R38+S38</f>
        <v>121</v>
      </c>
      <c r="U38" s="11">
        <v>75.262631999999996</v>
      </c>
      <c r="V38" s="7">
        <f>R38*U38</f>
        <v>5719.960032</v>
      </c>
      <c r="W38" s="7">
        <f>S38*U38</f>
        <v>3386.81844</v>
      </c>
      <c r="X38" s="7">
        <f>T38*U38</f>
        <v>9106.778472</v>
      </c>
      <c r="Y38" s="11">
        <f>8+Z38</f>
        <v>11.184210526315789</v>
      </c>
      <c r="Z38" s="11">
        <f>T38/C38</f>
        <v>3.1842105263157894</v>
      </c>
      <c r="AA38" s="15"/>
    </row>
    <row r="39" spans="1:27" ht="29.25" customHeight="1" x14ac:dyDescent="0.25">
      <c r="A39" s="31"/>
      <c r="B39" s="21" t="s">
        <v>9</v>
      </c>
      <c r="C39" s="1">
        <v>7</v>
      </c>
      <c r="D39" s="1">
        <f t="shared" si="38"/>
        <v>7</v>
      </c>
      <c r="E39" s="1">
        <v>7</v>
      </c>
      <c r="F39" s="1">
        <v>7</v>
      </c>
      <c r="G39" s="1">
        <v>7</v>
      </c>
      <c r="H39" s="1">
        <v>7</v>
      </c>
      <c r="I39" s="1">
        <v>7</v>
      </c>
      <c r="J39" s="1"/>
      <c r="K39" s="1"/>
      <c r="L39" s="1"/>
      <c r="M39" s="1"/>
      <c r="N39" s="1"/>
      <c r="O39" s="1"/>
      <c r="P39" s="1"/>
      <c r="Q39" s="1"/>
      <c r="R39" s="1">
        <f t="shared" si="47"/>
        <v>14</v>
      </c>
      <c r="S39" s="1">
        <f t="shared" si="2"/>
        <v>21</v>
      </c>
      <c r="T39" s="1">
        <f>R39+S39</f>
        <v>35</v>
      </c>
      <c r="U39" s="1">
        <v>75.41</v>
      </c>
      <c r="V39" s="7">
        <f t="shared" si="48"/>
        <v>1055.74</v>
      </c>
      <c r="W39" s="7">
        <f t="shared" si="49"/>
        <v>1583.61</v>
      </c>
      <c r="X39" s="7">
        <f t="shared" si="50"/>
        <v>2639.35</v>
      </c>
      <c r="Y39" s="11">
        <f t="shared" si="51"/>
        <v>13</v>
      </c>
      <c r="Z39" s="11">
        <f t="shared" si="52"/>
        <v>5</v>
      </c>
      <c r="AA39" s="15" t="s">
        <v>31</v>
      </c>
    </row>
    <row r="40" spans="1:27" ht="29.25" customHeight="1" x14ac:dyDescent="0.25">
      <c r="A40" s="31"/>
      <c r="B40" s="21" t="s">
        <v>17</v>
      </c>
      <c r="C40" s="1">
        <v>70</v>
      </c>
      <c r="D40" s="1">
        <f t="shared" si="38"/>
        <v>70</v>
      </c>
      <c r="E40" s="1">
        <v>70</v>
      </c>
      <c r="F40" s="1">
        <v>70</v>
      </c>
      <c r="G40" s="1">
        <v>70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>
        <f t="shared" si="47"/>
        <v>140</v>
      </c>
      <c r="S40" s="1">
        <f t="shared" si="2"/>
        <v>70</v>
      </c>
      <c r="T40" s="1">
        <f>R40+S40</f>
        <v>210</v>
      </c>
      <c r="U40" s="1">
        <v>75.62</v>
      </c>
      <c r="V40" s="7">
        <f>R40*U40</f>
        <v>10586.800000000001</v>
      </c>
      <c r="W40" s="7">
        <f>S40*U40</f>
        <v>5293.4000000000005</v>
      </c>
      <c r="X40" s="7">
        <f>T40*U40</f>
        <v>15880.2</v>
      </c>
      <c r="Y40" s="11">
        <f>8+Z40</f>
        <v>11</v>
      </c>
      <c r="Z40" s="11">
        <f>T40/C40</f>
        <v>3</v>
      </c>
      <c r="AA40" s="15"/>
    </row>
    <row r="41" spans="1:27" ht="29.25" customHeight="1" x14ac:dyDescent="0.25">
      <c r="A41" s="32"/>
      <c r="B41" s="21" t="s">
        <v>10</v>
      </c>
      <c r="C41" s="1"/>
      <c r="D41" s="1">
        <f t="shared" si="38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>
        <f t="shared" si="47"/>
        <v>0</v>
      </c>
      <c r="S41" s="1">
        <f t="shared" si="2"/>
        <v>0</v>
      </c>
      <c r="T41" s="1">
        <f t="shared" si="53"/>
        <v>0</v>
      </c>
      <c r="U41" s="1">
        <v>75.319999999999993</v>
      </c>
      <c r="V41" s="7">
        <f t="shared" si="48"/>
        <v>0</v>
      </c>
      <c r="W41" s="7">
        <f t="shared" si="49"/>
        <v>0</v>
      </c>
      <c r="X41" s="7">
        <f t="shared" si="50"/>
        <v>0</v>
      </c>
      <c r="Y41" s="11" t="e">
        <f t="shared" si="51"/>
        <v>#DIV/0!</v>
      </c>
      <c r="Z41" s="11" t="e">
        <f t="shared" si="52"/>
        <v>#DIV/0!</v>
      </c>
      <c r="AA41" s="15"/>
    </row>
    <row r="42" spans="1:27" ht="29.25" customHeight="1" x14ac:dyDescent="0.25">
      <c r="A42" s="28" t="s">
        <v>11</v>
      </c>
      <c r="B42" s="29"/>
      <c r="C42" s="2">
        <f t="shared" ref="C42:T42" si="54">SUM(C35:C41)</f>
        <v>1083</v>
      </c>
      <c r="D42" s="2">
        <f t="shared" si="54"/>
        <v>1083</v>
      </c>
      <c r="E42" s="2">
        <f t="shared" si="54"/>
        <v>1083</v>
      </c>
      <c r="F42" s="2">
        <f t="shared" si="54"/>
        <v>1083</v>
      </c>
      <c r="G42" s="2">
        <f t="shared" si="54"/>
        <v>540</v>
      </c>
      <c r="H42" s="2">
        <f t="shared" si="54"/>
        <v>410</v>
      </c>
      <c r="I42" s="2">
        <f t="shared" si="54"/>
        <v>326</v>
      </c>
      <c r="J42" s="2">
        <f t="shared" si="54"/>
        <v>0</v>
      </c>
      <c r="K42" s="2">
        <f t="shared" si="54"/>
        <v>0</v>
      </c>
      <c r="L42" s="2">
        <f t="shared" si="54"/>
        <v>0</v>
      </c>
      <c r="M42" s="2">
        <f t="shared" si="54"/>
        <v>0</v>
      </c>
      <c r="N42" s="2">
        <f t="shared" si="54"/>
        <v>0</v>
      </c>
      <c r="O42" s="2">
        <f t="shared" si="54"/>
        <v>0</v>
      </c>
      <c r="P42" s="2">
        <f t="shared" si="54"/>
        <v>0</v>
      </c>
      <c r="Q42" s="2">
        <f t="shared" si="54"/>
        <v>0</v>
      </c>
      <c r="R42" s="2">
        <f t="shared" si="54"/>
        <v>2166</v>
      </c>
      <c r="S42" s="2">
        <f t="shared" si="54"/>
        <v>1276</v>
      </c>
      <c r="T42" s="2">
        <f t="shared" si="54"/>
        <v>3442</v>
      </c>
      <c r="U42" s="5">
        <f>AVERAGE(U35:U41)</f>
        <v>75.682494142857124</v>
      </c>
      <c r="V42" s="8">
        <f>SUM(V35:V41)</f>
        <v>165794.15305599998</v>
      </c>
      <c r="W42" s="8">
        <f>SUM(W35:W41)</f>
        <v>95787.369982999997</v>
      </c>
      <c r="X42" s="8">
        <f>SUM(X35:X41)</f>
        <v>261581.52303900005</v>
      </c>
      <c r="Y42" s="5" t="e">
        <f>AVERAGE(Y35:Y41)</f>
        <v>#DIV/0!</v>
      </c>
      <c r="Z42" s="5" t="e">
        <f>AVERAGE(Z35:Z41)</f>
        <v>#DIV/0!</v>
      </c>
      <c r="AA42" s="17"/>
    </row>
    <row r="43" spans="1:27" ht="29.25" customHeight="1" x14ac:dyDescent="0.25">
      <c r="A43" s="33" t="s">
        <v>18</v>
      </c>
      <c r="B43" s="21" t="s">
        <v>32</v>
      </c>
      <c r="C43" s="1">
        <f>20+5</f>
        <v>25</v>
      </c>
      <c r="D43" s="1">
        <f t="shared" si="38"/>
        <v>25</v>
      </c>
      <c r="E43" s="4">
        <v>25</v>
      </c>
      <c r="F43" s="1">
        <v>25</v>
      </c>
      <c r="G43" s="1">
        <f>16+4</f>
        <v>20</v>
      </c>
      <c r="H43" s="1">
        <v>20</v>
      </c>
      <c r="I43" s="1">
        <v>20</v>
      </c>
      <c r="J43" s="1">
        <v>20</v>
      </c>
      <c r="K43" s="1">
        <v>20</v>
      </c>
      <c r="L43" s="1"/>
      <c r="M43" s="1"/>
      <c r="N43" s="1"/>
      <c r="O43" s="1"/>
      <c r="P43" s="1"/>
      <c r="Q43" s="1">
        <v>0</v>
      </c>
      <c r="R43" s="1">
        <f t="shared" ref="R43:R46" si="55">E43+F43</f>
        <v>50</v>
      </c>
      <c r="S43" s="1">
        <f t="shared" ref="S43" si="56">SUM(E43:Q43)-R43</f>
        <v>100</v>
      </c>
      <c r="T43" s="1">
        <f t="shared" ref="T43" si="57">R43+S43</f>
        <v>150</v>
      </c>
      <c r="U43" s="1">
        <v>75.41</v>
      </c>
      <c r="V43" s="7">
        <f>R43*U43</f>
        <v>3770.5</v>
      </c>
      <c r="W43" s="7">
        <f>S43*U43</f>
        <v>7541</v>
      </c>
      <c r="X43" s="7">
        <f>T43*U43</f>
        <v>11311.5</v>
      </c>
      <c r="Y43" s="11">
        <f>8+Z43</f>
        <v>14</v>
      </c>
      <c r="Z43" s="11">
        <f>T43/C43</f>
        <v>6</v>
      </c>
      <c r="AA43" s="15"/>
    </row>
    <row r="44" spans="1:27" ht="29.25" customHeight="1" x14ac:dyDescent="0.25">
      <c r="A44" s="34"/>
      <c r="B44" s="21" t="s">
        <v>19</v>
      </c>
      <c r="C44" s="1"/>
      <c r="D44" s="1">
        <f t="shared" si="38"/>
        <v>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>
        <v>0</v>
      </c>
      <c r="R44" s="1">
        <f t="shared" si="55"/>
        <v>0</v>
      </c>
      <c r="S44" s="1">
        <f t="shared" ref="S44:S46" si="58">SUM(E44:Q44)-R44</f>
        <v>0</v>
      </c>
      <c r="T44" s="1">
        <f t="shared" ref="T44:T46" si="59">R44+S44</f>
        <v>0</v>
      </c>
      <c r="U44" s="1">
        <v>75.41</v>
      </c>
      <c r="V44" s="7">
        <f t="shared" ref="V44:V46" si="60">R44*U44</f>
        <v>0</v>
      </c>
      <c r="W44" s="7">
        <f t="shared" ref="W44:W46" si="61">S44*U44</f>
        <v>0</v>
      </c>
      <c r="X44" s="7">
        <f t="shared" ref="X44:X46" si="62">T44*U44</f>
        <v>0</v>
      </c>
      <c r="Y44" s="11" t="e">
        <f t="shared" ref="Y44:Y46" si="63">8+Z44</f>
        <v>#DIV/0!</v>
      </c>
      <c r="Z44" s="11" t="e">
        <f t="shared" ref="Z44:Z46" si="64">T44/C44</f>
        <v>#DIV/0!</v>
      </c>
      <c r="AA44" s="15"/>
    </row>
    <row r="45" spans="1:27" ht="29.25" customHeight="1" x14ac:dyDescent="0.25">
      <c r="A45" s="34"/>
      <c r="B45" s="21" t="s">
        <v>10</v>
      </c>
      <c r="C45" s="1"/>
      <c r="D45" s="1">
        <f t="shared" si="38"/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>
        <f t="shared" si="55"/>
        <v>0</v>
      </c>
      <c r="S45" s="1">
        <f t="shared" ref="S45" si="65">SUM(E45:Q45)-R45</f>
        <v>0</v>
      </c>
      <c r="T45" s="1">
        <f t="shared" ref="T45" si="66">R45+S45</f>
        <v>0</v>
      </c>
      <c r="U45" s="1">
        <v>75.319999999999993</v>
      </c>
      <c r="V45" s="7">
        <f t="shared" ref="V45" si="67">R45*U45</f>
        <v>0</v>
      </c>
      <c r="W45" s="7">
        <f t="shared" ref="W45" si="68">S45*U45</f>
        <v>0</v>
      </c>
      <c r="X45" s="7">
        <f t="shared" ref="X45" si="69">T45*U45</f>
        <v>0</v>
      </c>
      <c r="Y45" s="11" t="e">
        <f t="shared" ref="Y45" si="70">8+Z45</f>
        <v>#DIV/0!</v>
      </c>
      <c r="Z45" s="11" t="e">
        <f t="shared" ref="Z45" si="71">T45/C45</f>
        <v>#DIV/0!</v>
      </c>
      <c r="AA45" s="15"/>
    </row>
    <row r="46" spans="1:27" ht="29.25" customHeight="1" x14ac:dyDescent="0.25">
      <c r="A46" s="35"/>
      <c r="B46" s="22" t="s">
        <v>33</v>
      </c>
      <c r="C46" s="1"/>
      <c r="D46" s="1">
        <f t="shared" si="38"/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>
        <v>0</v>
      </c>
      <c r="R46" s="1">
        <f t="shared" si="55"/>
        <v>0</v>
      </c>
      <c r="S46" s="1">
        <f t="shared" si="58"/>
        <v>0</v>
      </c>
      <c r="T46" s="1">
        <f t="shared" si="59"/>
        <v>0</v>
      </c>
      <c r="U46" s="1">
        <v>74.745999999999995</v>
      </c>
      <c r="V46" s="7">
        <f t="shared" si="60"/>
        <v>0</v>
      </c>
      <c r="W46" s="7">
        <f t="shared" si="61"/>
        <v>0</v>
      </c>
      <c r="X46" s="7">
        <f t="shared" si="62"/>
        <v>0</v>
      </c>
      <c r="Y46" s="11" t="e">
        <f t="shared" si="63"/>
        <v>#DIV/0!</v>
      </c>
      <c r="Z46" s="11" t="e">
        <f t="shared" si="64"/>
        <v>#DIV/0!</v>
      </c>
      <c r="AA46" s="15"/>
    </row>
    <row r="47" spans="1:27" ht="29.25" customHeight="1" x14ac:dyDescent="0.25">
      <c r="A47" s="28" t="s">
        <v>11</v>
      </c>
      <c r="B47" s="29"/>
      <c r="C47" s="2">
        <f t="shared" ref="C47:T47" si="72">SUM(C43:C46)</f>
        <v>25</v>
      </c>
      <c r="D47" s="2">
        <f t="shared" si="72"/>
        <v>25</v>
      </c>
      <c r="E47" s="2">
        <f t="shared" si="72"/>
        <v>25</v>
      </c>
      <c r="F47" s="2">
        <f t="shared" si="72"/>
        <v>25</v>
      </c>
      <c r="G47" s="2">
        <f t="shared" si="72"/>
        <v>20</v>
      </c>
      <c r="H47" s="2">
        <f t="shared" si="72"/>
        <v>20</v>
      </c>
      <c r="I47" s="2">
        <f t="shared" si="72"/>
        <v>20</v>
      </c>
      <c r="J47" s="2">
        <f t="shared" si="72"/>
        <v>20</v>
      </c>
      <c r="K47" s="2">
        <f>SUM(K43:K46)</f>
        <v>20</v>
      </c>
      <c r="L47" s="2">
        <f t="shared" si="72"/>
        <v>0</v>
      </c>
      <c r="M47" s="2">
        <f t="shared" si="72"/>
        <v>0</v>
      </c>
      <c r="N47" s="2">
        <f t="shared" si="72"/>
        <v>0</v>
      </c>
      <c r="O47" s="2">
        <f t="shared" si="72"/>
        <v>0</v>
      </c>
      <c r="P47" s="2">
        <f t="shared" si="72"/>
        <v>0</v>
      </c>
      <c r="Q47" s="2">
        <f t="shared" si="72"/>
        <v>0</v>
      </c>
      <c r="R47" s="2">
        <f>SUM(R43:R46)</f>
        <v>50</v>
      </c>
      <c r="S47" s="2">
        <f t="shared" si="72"/>
        <v>100</v>
      </c>
      <c r="T47" s="2">
        <f t="shared" si="72"/>
        <v>150</v>
      </c>
      <c r="U47" s="5">
        <f>AVERAGE(U43:U46)</f>
        <v>75.221499999999992</v>
      </c>
      <c r="V47" s="8">
        <f>SUM(V43:V46)</f>
        <v>3770.5</v>
      </c>
      <c r="W47" s="8">
        <f>SUM(W43:W46)</f>
        <v>7541</v>
      </c>
      <c r="X47" s="8">
        <f>SUM(X43:X46)</f>
        <v>11311.5</v>
      </c>
      <c r="Y47" s="5" t="e">
        <f>AVERAGE(Y43:Y46)</f>
        <v>#DIV/0!</v>
      </c>
      <c r="Z47" s="5" t="e">
        <f>AVERAGE(Z43:Z46)</f>
        <v>#DIV/0!</v>
      </c>
      <c r="AA47" s="17"/>
    </row>
    <row r="48" spans="1:27" ht="29.25" customHeight="1" x14ac:dyDescent="0.25">
      <c r="A48" s="24" t="s">
        <v>20</v>
      </c>
      <c r="B48" s="25"/>
      <c r="C48" s="3">
        <f>C12+C20+C27+C34+C42+C47</f>
        <v>5455</v>
      </c>
      <c r="D48" s="3">
        <f t="shared" ref="D48:T48" si="73">D12+D20+D27+D34+D42+D47</f>
        <v>5455</v>
      </c>
      <c r="E48" s="3">
        <f t="shared" si="73"/>
        <v>5377</v>
      </c>
      <c r="F48" s="3">
        <f t="shared" si="73"/>
        <v>5373</v>
      </c>
      <c r="G48" s="3">
        <f t="shared" si="73"/>
        <v>2675</v>
      </c>
      <c r="H48" s="3">
        <f t="shared" si="73"/>
        <v>1892</v>
      </c>
      <c r="I48" s="3">
        <f t="shared" si="73"/>
        <v>1422</v>
      </c>
      <c r="J48" s="3">
        <f t="shared" si="73"/>
        <v>35</v>
      </c>
      <c r="K48" s="3">
        <f t="shared" si="73"/>
        <v>35</v>
      </c>
      <c r="L48" s="3">
        <f t="shared" si="73"/>
        <v>0</v>
      </c>
      <c r="M48" s="3">
        <f t="shared" si="73"/>
        <v>0</v>
      </c>
      <c r="N48" s="3">
        <f t="shared" si="73"/>
        <v>0</v>
      </c>
      <c r="O48" s="3">
        <f t="shared" si="73"/>
        <v>0</v>
      </c>
      <c r="P48" s="3">
        <f t="shared" si="73"/>
        <v>0</v>
      </c>
      <c r="Q48" s="3">
        <f t="shared" si="73"/>
        <v>0</v>
      </c>
      <c r="R48" s="3">
        <f t="shared" si="73"/>
        <v>10750</v>
      </c>
      <c r="S48" s="3">
        <f t="shared" si="73"/>
        <v>6059</v>
      </c>
      <c r="T48" s="3">
        <f t="shared" si="73"/>
        <v>16809</v>
      </c>
      <c r="U48" s="6">
        <f>AVERAGE(U12,U20,U27,U34,U42,U47)</f>
        <v>138.82356113095236</v>
      </c>
      <c r="V48" s="9">
        <f>V12+V20+V27+V34+V42+V47</f>
        <v>816739.48858599982</v>
      </c>
      <c r="W48" s="9">
        <f>W12+W20+W27+W34+W42+W47</f>
        <v>453570.25752799999</v>
      </c>
      <c r="X48" s="9">
        <f>X12+X20+X27+X34+X42+X47</f>
        <v>1270309.746114</v>
      </c>
      <c r="Y48" s="6">
        <f>8+Z48</f>
        <v>11.081393217231897</v>
      </c>
      <c r="Z48" s="6">
        <f>T48/C48</f>
        <v>3.0813932172318972</v>
      </c>
      <c r="AA48" s="18"/>
    </row>
    <row r="49" ht="12" customHeight="1" x14ac:dyDescent="0.25"/>
  </sheetData>
  <autoFilter ref="A5:AA49" xr:uid="{543CB686-DEBC-4CBA-A9D7-38ACE0755368}"/>
  <mergeCells count="29">
    <mergeCell ref="A27:B27"/>
    <mergeCell ref="A1:AA1"/>
    <mergeCell ref="A2:AA2"/>
    <mergeCell ref="A3:AA3"/>
    <mergeCell ref="A4:A5"/>
    <mergeCell ref="B4:B5"/>
    <mergeCell ref="C4:C5"/>
    <mergeCell ref="Z4:Z5"/>
    <mergeCell ref="AA4:AA5"/>
    <mergeCell ref="Y4:Y5"/>
    <mergeCell ref="V4:V5"/>
    <mergeCell ref="W4:W5"/>
    <mergeCell ref="X4:X5"/>
    <mergeCell ref="A48:B48"/>
    <mergeCell ref="R4:R5"/>
    <mergeCell ref="S4:S5"/>
    <mergeCell ref="T4:T5"/>
    <mergeCell ref="U4:U5"/>
    <mergeCell ref="A34:B34"/>
    <mergeCell ref="A35:A41"/>
    <mergeCell ref="A42:B42"/>
    <mergeCell ref="A43:A46"/>
    <mergeCell ref="A47:B47"/>
    <mergeCell ref="A28:A33"/>
    <mergeCell ref="A6:A11"/>
    <mergeCell ref="A12:B12"/>
    <mergeCell ref="A13:A19"/>
    <mergeCell ref="A20:B20"/>
    <mergeCell ref="A21:A26"/>
  </mergeCells>
  <pageMargins left="0.2" right="0.2" top="0.25" bottom="0.25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Requisition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Payroll-Tohidul-AAL</dc:creator>
  <cp:lastModifiedBy>IE - Agami</cp:lastModifiedBy>
  <cp:lastPrinted>2025-11-03T10:49:34Z</cp:lastPrinted>
  <dcterms:created xsi:type="dcterms:W3CDTF">2025-08-14T04:55:00Z</dcterms:created>
  <dcterms:modified xsi:type="dcterms:W3CDTF">2026-08-20T11:33:50Z</dcterms:modified>
</cp:coreProperties>
</file>